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<sst xmlns="http://schemas.openxmlformats.org/spreadsheetml/2006/main" count="439" uniqueCount="111">
  <si>
    <t xml:space="preserve">Cod_Capital</t>
  </si>
  <si>
    <t xml:space="preserve">DP</t>
  </si>
  <si>
    <t xml:space="preserve">DPNOM</t>
  </si>
  <si>
    <t xml:space="preserve">Nom_Capital</t>
  </si>
  <si>
    <t xml:space="preserve">Year</t>
  </si>
  <si>
    <t xml:space="preserve">Poblacion_Mun</t>
  </si>
  <si>
    <t xml:space="preserve">Poblacion_Depto</t>
  </si>
  <si>
    <t xml:space="preserve">Poblacion_DeptoH</t>
  </si>
  <si>
    <t xml:space="preserve">Poblacion_DeptoM</t>
  </si>
  <si>
    <t xml:space="preserve">Pob40_Depto</t>
  </si>
  <si>
    <t xml:space="preserve">Pob40H_Depto</t>
  </si>
  <si>
    <t xml:space="preserve">Pob40M_Depto</t>
  </si>
  <si>
    <t xml:space="preserve">Tabaquismo</t>
  </si>
  <si>
    <t xml:space="preserve">TabacoTasa</t>
  </si>
  <si>
    <t xml:space="preserve">Muertes_H</t>
  </si>
  <si>
    <t xml:space="preserve">Muertes_M</t>
  </si>
  <si>
    <t xml:space="preserve">Muertes_Total</t>
  </si>
  <si>
    <t xml:space="preserve">Tasa_Mort</t>
  </si>
  <si>
    <t xml:space="preserve">Muerte_40</t>
  </si>
  <si>
    <t xml:space="preserve">Tasa_40_Mort</t>
  </si>
  <si>
    <t xml:space="preserve">A - AMBULATORIO</t>
  </si>
  <si>
    <t xml:space="preserve">H - HOSPITALARIO</t>
  </si>
  <si>
    <t xml:space="preserve">U - EN URGENCIA</t>
  </si>
  <si>
    <t xml:space="preserve">N - NO APLICA</t>
  </si>
  <si>
    <t xml:space="preserve">Pacientes</t>
  </si>
  <si>
    <t xml:space="preserve">Tasa_pts</t>
  </si>
  <si>
    <t xml:space="preserve">Dx_Confirmado</t>
  </si>
  <si>
    <t xml:space="preserve">Espiro</t>
  </si>
  <si>
    <t xml:space="preserve">Espiro_Tasa</t>
  </si>
  <si>
    <t xml:space="preserve">Consulta</t>
  </si>
  <si>
    <t xml:space="preserve">ConsultaTasa</t>
  </si>
  <si>
    <t xml:space="preserve">Procedimientos</t>
  </si>
  <si>
    <t xml:space="preserve">Urgencias</t>
  </si>
  <si>
    <t xml:space="preserve">Hospitalizacion</t>
  </si>
  <si>
    <t xml:space="preserve">HospitaTasa</t>
  </si>
  <si>
    <t xml:space="preserve">Prev_Total</t>
  </si>
  <si>
    <t xml:space="preserve">Letalidad</t>
  </si>
  <si>
    <t xml:space="preserve">Espiro_Nal</t>
  </si>
  <si>
    <t xml:space="preserve">Espiro_NalTasa</t>
  </si>
  <si>
    <t xml:space="preserve">Espiro_Deficit</t>
  </si>
  <si>
    <t xml:space="preserve">Estufa</t>
  </si>
  <si>
    <t xml:space="preserve">IPM</t>
  </si>
  <si>
    <t xml:space="preserve">Porc40_may</t>
  </si>
  <si>
    <t xml:space="preserve">Amazonas</t>
  </si>
  <si>
    <t xml:space="preserve">Leticia</t>
  </si>
  <si>
    <t xml:space="preserve">2020</t>
  </si>
  <si>
    <t xml:space="preserve">2021</t>
  </si>
  <si>
    <t xml:space="preserve">2022</t>
  </si>
  <si>
    <t xml:space="preserve">2023</t>
  </si>
  <si>
    <t xml:space="preserve">Antioquia</t>
  </si>
  <si>
    <t xml:space="preserve">Medellín</t>
  </si>
  <si>
    <t xml:space="preserve">Arauca</t>
  </si>
  <si>
    <t xml:space="preserve">Archipiélago de San Andrés</t>
  </si>
  <si>
    <t xml:space="preserve">San Andrés</t>
  </si>
  <si>
    <t xml:space="preserve">Atlántico</t>
  </si>
  <si>
    <t xml:space="preserve">Barranquilla</t>
  </si>
  <si>
    <t xml:space="preserve">Bogotá, D.C.</t>
  </si>
  <si>
    <t xml:space="preserve">Bogotá_DC</t>
  </si>
  <si>
    <t xml:space="preserve">Bolívar</t>
  </si>
  <si>
    <t xml:space="preserve">Cartagena de Indias</t>
  </si>
  <si>
    <t xml:space="preserve">Boyacá</t>
  </si>
  <si>
    <t xml:space="preserve">Tunja</t>
  </si>
  <si>
    <t xml:space="preserve">Caldas</t>
  </si>
  <si>
    <t xml:space="preserve">Manizales</t>
  </si>
  <si>
    <t xml:space="preserve">Caquetá</t>
  </si>
  <si>
    <t xml:space="preserve">Florencia</t>
  </si>
  <si>
    <t xml:space="preserve">Casanare</t>
  </si>
  <si>
    <t xml:space="preserve">Yopal</t>
  </si>
  <si>
    <t xml:space="preserve">Cauca</t>
  </si>
  <si>
    <t xml:space="preserve">Popayán</t>
  </si>
  <si>
    <t xml:space="preserve">Cesar</t>
  </si>
  <si>
    <t xml:space="preserve">Valledupar</t>
  </si>
  <si>
    <t xml:space="preserve">Chocó</t>
  </si>
  <si>
    <t xml:space="preserve">Quibdó</t>
  </si>
  <si>
    <t xml:space="preserve">Córdoba</t>
  </si>
  <si>
    <t xml:space="preserve">Montería</t>
  </si>
  <si>
    <t xml:space="preserve">Cundinamarca</t>
  </si>
  <si>
    <t xml:space="preserve">Guainía</t>
  </si>
  <si>
    <t xml:space="preserve">Inírida</t>
  </si>
  <si>
    <t xml:space="preserve">Guaviare</t>
  </si>
  <si>
    <t xml:space="preserve">San José del Guaviare</t>
  </si>
  <si>
    <t xml:space="preserve">Huila</t>
  </si>
  <si>
    <t xml:space="preserve">Neiva</t>
  </si>
  <si>
    <t xml:space="preserve">La Guajira</t>
  </si>
  <si>
    <t xml:space="preserve">Riohacha</t>
  </si>
  <si>
    <t xml:space="preserve">Magdalena</t>
  </si>
  <si>
    <t xml:space="preserve">Santa Marta</t>
  </si>
  <si>
    <t xml:space="preserve">Meta</t>
  </si>
  <si>
    <t xml:space="preserve">Villavicencio</t>
  </si>
  <si>
    <t xml:space="preserve">Nariño</t>
  </si>
  <si>
    <t xml:space="preserve">Pasto</t>
  </si>
  <si>
    <t xml:space="preserve">Norte de Santander</t>
  </si>
  <si>
    <t xml:space="preserve">Cúcuta</t>
  </si>
  <si>
    <t xml:space="preserve">Putumayo</t>
  </si>
  <si>
    <t xml:space="preserve">Mocoa</t>
  </si>
  <si>
    <t xml:space="preserve">Quindio</t>
  </si>
  <si>
    <t xml:space="preserve">Armenia</t>
  </si>
  <si>
    <t xml:space="preserve">Risaralda</t>
  </si>
  <si>
    <t xml:space="preserve">Pereira</t>
  </si>
  <si>
    <t xml:space="preserve">Santander</t>
  </si>
  <si>
    <t xml:space="preserve">Bucaramanga</t>
  </si>
  <si>
    <t xml:space="preserve">Sucre</t>
  </si>
  <si>
    <t xml:space="preserve">Sincelejo</t>
  </si>
  <si>
    <t xml:space="preserve">Tolima</t>
  </si>
  <si>
    <t xml:space="preserve">Ibagué</t>
  </si>
  <si>
    <t xml:space="preserve">Valle del Cauca</t>
  </si>
  <si>
    <t xml:space="preserve">Cali</t>
  </si>
  <si>
    <t xml:space="preserve">Vaupés</t>
  </si>
  <si>
    <t xml:space="preserve">Mitú</t>
  </si>
  <si>
    <t xml:space="preserve">Vichada</t>
  </si>
  <si>
    <t xml:space="preserve">Puerto Carreño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</si>
</sst>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0%"/>
    <numFmt numFmtId="167" formatCode="#,##0.00"/>
    <numFmt numFmtId="168" formatCode="#,##0.000000"/>
    <numFmt numFmtId="169" formatCode="0"/>
    <numFmt numFmtId="170" formatCode="0.0"/>
    <numFmt numFmtId="171" formatCode="0.0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stado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7"/>
  <sheetViews>
    <sheetView showFormulas="false" showGridLines="true" showRowColHeaders="true" showZeros="true" rightToLeft="false" tabSelected="true" showOutlineSymbols="true" defaultGridColor="true" view="normal" topLeftCell="A1" colorId="64" zoomScale="91" zoomScaleNormal="91" zoomScalePageLayoutView="100" workbookViewId="0">
      <pane xSplit="4" ySplit="1" topLeftCell="AB2" activePane="bottomRight" state="frozen"/>
      <selection pane="topLeft" activeCell="A1" activeCellId="0" sqref="A1"/>
      <selection pane="topRight" activeCell="AB1" activeCellId="0" sqref="AB1"/>
      <selection pane="bottomLeft" activeCell="A2" activeCellId="0" sqref="A2"/>
      <selection pane="bottomRight" activeCell="AB115" activeCellId="0" sqref="115:115"/>
    </sheetView>
  </sheetViews>
  <sheetFormatPr defaultColWidth="10.6796875" defaultRowHeight="15" zeroHeight="false" outlineLevelRow="0" outlineLevelCol="0"/>
  <cols>
    <col collapsed="false" customWidth="false" hidden="false" outlineLevel="0" max="3" min="2" style="1" width="10.66"/>
    <col collapsed="false" customWidth="false" hidden="false" outlineLevel="0" max="12" min="6" style="2" width="10.66"/>
    <col collapsed="false" customWidth="false" hidden="false" outlineLevel="0" max="14" min="13" style="3" width="10.66"/>
    <col collapsed="false" customWidth="false" hidden="false" outlineLevel="0" max="16" min="15" style="2" width="10.66"/>
    <col collapsed="false" customWidth="false" hidden="false" outlineLevel="0" max="26" min="26" style="4" width="10.66"/>
    <col collapsed="false" customWidth="false" hidden="false" outlineLevel="0" max="29" min="29" style="4" width="10.66"/>
    <col collapsed="false" customWidth="false" hidden="false" outlineLevel="0" max="35" min="35" style="4" width="10.66"/>
    <col collapsed="false" customWidth="false" hidden="false" outlineLevel="0" max="36" min="36" style="5" width="10.66"/>
    <col collapsed="false" customWidth="false" hidden="false" outlineLevel="0" max="38" min="38" style="2" width="10.66"/>
    <col collapsed="false" customWidth="false" hidden="false" outlineLevel="0" max="40" min="40" style="4" width="10.66"/>
    <col collapsed="false" customWidth="false" hidden="false" outlineLevel="0" max="43" min="43" style="4" width="10.66"/>
    <col collapsed="false" customWidth="true" hidden="false" outlineLevel="0" max="16384" min="16383" style="6" width="11.53"/>
  </cols>
  <sheetData>
    <row r="1" s="7" customFormat="true" ht="1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9" t="s">
        <v>13</v>
      </c>
      <c r="O1" s="8" t="s">
        <v>14</v>
      </c>
      <c r="P1" s="8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1" t="s">
        <v>25</v>
      </c>
      <c r="AA1" s="10" t="s">
        <v>26</v>
      </c>
      <c r="AB1" s="10" t="s">
        <v>27</v>
      </c>
      <c r="AC1" s="11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12" t="s">
        <v>34</v>
      </c>
      <c r="AJ1" s="13" t="s">
        <v>35</v>
      </c>
      <c r="AK1" s="7" t="s">
        <v>36</v>
      </c>
      <c r="AL1" s="8" t="s">
        <v>37</v>
      </c>
      <c r="AM1" s="7" t="s">
        <v>38</v>
      </c>
      <c r="AN1" s="12" t="s">
        <v>39</v>
      </c>
      <c r="AO1" s="7" t="s">
        <v>40</v>
      </c>
      <c r="AP1" s="7" t="s">
        <v>41</v>
      </c>
      <c r="AQ1" s="12" t="s">
        <v>42</v>
      </c>
    </row>
    <row r="2" customFormat="false" ht="15" hidden="false" customHeight="false" outlineLevel="0" collapsed="false">
      <c r="A2" s="14" t="n">
        <v>91001</v>
      </c>
      <c r="B2" s="15" t="n">
        <v>91</v>
      </c>
      <c r="C2" s="15" t="s">
        <v>43</v>
      </c>
      <c r="D2" s="14" t="s">
        <v>44</v>
      </c>
      <c r="E2" s="14" t="s">
        <v>45</v>
      </c>
      <c r="F2" s="16" t="n">
        <v>50950</v>
      </c>
      <c r="G2" s="16" t="n">
        <v>80472</v>
      </c>
      <c r="H2" s="16" t="n">
        <v>41631</v>
      </c>
      <c r="I2" s="16" t="n">
        <v>38841</v>
      </c>
      <c r="J2" s="16" t="n">
        <v>19043</v>
      </c>
      <c r="K2" s="16" t="n">
        <v>9709</v>
      </c>
      <c r="L2" s="16" t="n">
        <v>9334</v>
      </c>
      <c r="M2" s="3" t="n">
        <v>0.0666666666666667</v>
      </c>
      <c r="N2" s="4" t="n">
        <f aca="false">M2*100000</f>
        <v>6666.66666666667</v>
      </c>
      <c r="O2" s="2" t="n">
        <v>1</v>
      </c>
      <c r="P2" s="2" t="n">
        <v>2</v>
      </c>
      <c r="Q2" s="6" t="n">
        <v>3</v>
      </c>
      <c r="R2" s="6" t="n">
        <v>3.73</v>
      </c>
      <c r="S2" s="17" t="n">
        <v>3</v>
      </c>
      <c r="T2" s="18" t="n">
        <f aca="false">(S2/J2)*100000</f>
        <v>15.7538203014231</v>
      </c>
      <c r="U2" s="19" t="n">
        <v>24</v>
      </c>
      <c r="V2" s="19" t="n">
        <v>2</v>
      </c>
      <c r="W2" s="19" t="n">
        <v>3</v>
      </c>
      <c r="X2" s="19" t="n">
        <v>103</v>
      </c>
      <c r="Y2" s="19" t="n">
        <v>112</v>
      </c>
      <c r="Z2" s="20" t="n">
        <f aca="false">(Y2/G2)*100000</f>
        <v>139.178844815588</v>
      </c>
      <c r="AA2" s="2" t="n">
        <v>30</v>
      </c>
      <c r="AB2" s="6" t="n">
        <v>1</v>
      </c>
      <c r="AC2" s="4" t="n">
        <f aca="false">(AB2/G2)*100000</f>
        <v>1.24266825728204</v>
      </c>
      <c r="AD2" s="6" t="n">
        <v>98</v>
      </c>
      <c r="AE2" s="4" t="n">
        <f aca="false">(AD2/G2)*100000</f>
        <v>121.78148921364</v>
      </c>
      <c r="AF2" s="6" t="n">
        <v>28</v>
      </c>
      <c r="AG2" s="6" t="n">
        <v>15</v>
      </c>
      <c r="AH2" s="6" t="n">
        <v>10</v>
      </c>
      <c r="AI2" s="4" t="n">
        <f aca="false">(AH2/G2)*100000</f>
        <v>12.4266825728204</v>
      </c>
      <c r="AJ2" s="5" t="n">
        <f aca="false">Y2/J2</f>
        <v>0.00588142624586462</v>
      </c>
      <c r="AK2" s="2" t="n">
        <f aca="false">(Q2/Y2)*100000</f>
        <v>2678.57142857143</v>
      </c>
      <c r="AL2" s="2" t="n">
        <v>163</v>
      </c>
      <c r="AM2" s="4" t="n">
        <f aca="false">(AL2/G2)*100000</f>
        <v>202.554925936972</v>
      </c>
      <c r="AN2" s="4" t="n">
        <f aca="false">1105.08-AM2</f>
        <v>902.525074063028</v>
      </c>
      <c r="AO2" s="6" t="n">
        <v>0.869</v>
      </c>
      <c r="AP2" s="6" t="n">
        <v>0.149</v>
      </c>
      <c r="AQ2" s="4" t="n">
        <f aca="false">J2/G2</f>
        <v>0.236641316234218</v>
      </c>
    </row>
    <row r="3" s="33" customFormat="true" ht="15" hidden="false" customHeight="false" outlineLevel="0" collapsed="false">
      <c r="A3" s="21" t="n">
        <v>91001</v>
      </c>
      <c r="B3" s="22" t="n">
        <v>91</v>
      </c>
      <c r="C3" s="22" t="s">
        <v>43</v>
      </c>
      <c r="D3" s="21" t="s">
        <v>44</v>
      </c>
      <c r="E3" s="21" t="s">
        <v>46</v>
      </c>
      <c r="F3" s="23" t="n">
        <v>52226</v>
      </c>
      <c r="G3" s="23" t="n">
        <v>82171</v>
      </c>
      <c r="H3" s="23" t="n">
        <v>42362</v>
      </c>
      <c r="I3" s="23" t="n">
        <v>39809</v>
      </c>
      <c r="J3" s="23" t="n">
        <v>19644</v>
      </c>
      <c r="K3" s="23" t="n">
        <v>9943</v>
      </c>
      <c r="L3" s="23" t="n">
        <v>9701</v>
      </c>
      <c r="M3" s="24" t="n">
        <v>0.0645161290322581</v>
      </c>
      <c r="N3" s="25" t="n">
        <f aca="false">M3*100000</f>
        <v>6451.61290322581</v>
      </c>
      <c r="O3" s="26" t="n">
        <v>11</v>
      </c>
      <c r="P3" s="26" t="n">
        <v>4</v>
      </c>
      <c r="Q3" s="27" t="n">
        <v>15</v>
      </c>
      <c r="R3" s="27" t="n">
        <v>18.25</v>
      </c>
      <c r="S3" s="28" t="n">
        <v>15</v>
      </c>
      <c r="T3" s="29" t="n">
        <f aca="false">(S3/J3)*100000</f>
        <v>76.3591936469151</v>
      </c>
      <c r="U3" s="30" t="n">
        <v>9</v>
      </c>
      <c r="V3" s="30" t="n">
        <v>6</v>
      </c>
      <c r="W3" s="30" t="n">
        <v>4</v>
      </c>
      <c r="X3" s="30" t="n">
        <v>58</v>
      </c>
      <c r="Y3" s="30" t="n">
        <v>63</v>
      </c>
      <c r="Z3" s="31" t="n">
        <f aca="false">(Y3/G3)*100000</f>
        <v>76.669384576067</v>
      </c>
      <c r="AA3" s="26" t="n">
        <v>14</v>
      </c>
      <c r="AB3" s="27" t="n">
        <v>0</v>
      </c>
      <c r="AC3" s="25" t="n">
        <f aca="false">(AB3/G3)*100000</f>
        <v>0</v>
      </c>
      <c r="AD3" s="27" t="n">
        <v>54</v>
      </c>
      <c r="AE3" s="25" t="n">
        <f aca="false">(AD3/G3)*100000</f>
        <v>65.7166153509146</v>
      </c>
      <c r="AF3" s="27" t="n">
        <v>14</v>
      </c>
      <c r="AG3" s="27" t="n">
        <v>4</v>
      </c>
      <c r="AH3" s="27" t="n">
        <v>10</v>
      </c>
      <c r="AI3" s="25" t="n">
        <f aca="false">(AH3/G3)*100000</f>
        <v>12.1697435835027</v>
      </c>
      <c r="AJ3" s="32" t="n">
        <f aca="false">Y3/J3</f>
        <v>0.00320708613317043</v>
      </c>
      <c r="AK3" s="26" t="n">
        <f aca="false">(Q3/Y3)*100000</f>
        <v>23809.5238095238</v>
      </c>
      <c r="AL3" s="26" t="n">
        <v>48</v>
      </c>
      <c r="AM3" s="25" t="n">
        <f aca="false">(AL3/G3)*100000</f>
        <v>58.4147692008129</v>
      </c>
      <c r="AN3" s="25" t="n">
        <f aca="false">1105.08-AM3</f>
        <v>1046.66523079919</v>
      </c>
      <c r="AO3" s="27" t="n">
        <v>0.564</v>
      </c>
      <c r="AP3" s="27" t="n">
        <v>0.143</v>
      </c>
      <c r="AQ3" s="25" t="n">
        <f aca="false">J3/G3</f>
        <v>0.239062442954327</v>
      </c>
      <c r="XFC3" s="27"/>
      <c r="XFD3" s="27"/>
    </row>
    <row r="4" customFormat="false" ht="15" hidden="false" customHeight="false" outlineLevel="0" collapsed="false">
      <c r="A4" s="14" t="n">
        <v>91001</v>
      </c>
      <c r="B4" s="15" t="n">
        <v>91</v>
      </c>
      <c r="C4" s="15" t="s">
        <v>43</v>
      </c>
      <c r="D4" s="14" t="s">
        <v>44</v>
      </c>
      <c r="E4" s="14" t="s">
        <v>47</v>
      </c>
      <c r="F4" s="16" t="n">
        <v>53201</v>
      </c>
      <c r="G4" s="16" t="n">
        <v>83690</v>
      </c>
      <c r="H4" s="16" t="n">
        <v>42977</v>
      </c>
      <c r="I4" s="16" t="n">
        <v>40713</v>
      </c>
      <c r="J4" s="16" t="n">
        <v>20232</v>
      </c>
      <c r="K4" s="16" t="n">
        <v>10159</v>
      </c>
      <c r="L4" s="16" t="n">
        <v>10073</v>
      </c>
      <c r="M4" s="3" t="n">
        <v>0.078125</v>
      </c>
      <c r="N4" s="4" t="n">
        <f aca="false">M4*100000</f>
        <v>7812.5</v>
      </c>
      <c r="O4" s="2" t="n">
        <v>4</v>
      </c>
      <c r="P4" s="2" t="n">
        <v>6</v>
      </c>
      <c r="Q4" s="6" t="n">
        <v>10</v>
      </c>
      <c r="R4" s="6" t="n">
        <v>11.95</v>
      </c>
      <c r="S4" s="17" t="n">
        <v>10</v>
      </c>
      <c r="T4" s="18" t="n">
        <f aca="false">(S4/J4)*100000</f>
        <v>49.4266508501384</v>
      </c>
      <c r="U4" s="19" t="n">
        <v>14</v>
      </c>
      <c r="V4" s="19" t="n">
        <v>17</v>
      </c>
      <c r="W4" s="19" t="n">
        <v>6</v>
      </c>
      <c r="X4" s="19" t="n">
        <v>125</v>
      </c>
      <c r="Y4" s="19" t="n">
        <v>133</v>
      </c>
      <c r="Z4" s="20" t="n">
        <f aca="false">(Y4/G4)*100000</f>
        <v>158.919823156889</v>
      </c>
      <c r="AA4" s="2" t="n">
        <v>13</v>
      </c>
      <c r="AB4" s="6" t="n">
        <v>0</v>
      </c>
      <c r="AC4" s="4" t="n">
        <f aca="false">(AB4/G4)*100000</f>
        <v>0</v>
      </c>
      <c r="AD4" s="6" t="n">
        <v>116</v>
      </c>
      <c r="AE4" s="4" t="n">
        <f aca="false">(AD4/G4)*100000</f>
        <v>138.606763054128</v>
      </c>
      <c r="AF4" s="6" t="n">
        <v>30</v>
      </c>
      <c r="AG4" s="6" t="n">
        <v>6</v>
      </c>
      <c r="AH4" s="6" t="n">
        <v>23</v>
      </c>
      <c r="AI4" s="4" t="n">
        <f aca="false">(AH4/G4)*100000</f>
        <v>27.4823754331461</v>
      </c>
      <c r="AJ4" s="5" t="n">
        <f aca="false">Y4/J4</f>
        <v>0.00657374456306841</v>
      </c>
      <c r="AK4" s="2" t="n">
        <f aca="false">(Q4/Y4)*100000</f>
        <v>7518.7969924812</v>
      </c>
      <c r="AL4" s="2" t="n">
        <v>40</v>
      </c>
      <c r="AM4" s="4" t="n">
        <f aca="false">(AL4/G4)*100000</f>
        <v>47.7954355359063</v>
      </c>
      <c r="AN4" s="4" t="n">
        <f aca="false">1105.08-AM4</f>
        <v>1057.28456446409</v>
      </c>
      <c r="AO4" s="6" t="n">
        <v>0.622</v>
      </c>
      <c r="AP4" s="6" t="n">
        <v>0.107</v>
      </c>
      <c r="AQ4" s="4" t="n">
        <f aca="false">J4/G4</f>
        <v>0.241749312940614</v>
      </c>
    </row>
    <row r="5" customFormat="false" ht="15" hidden="false" customHeight="false" outlineLevel="0" collapsed="false">
      <c r="A5" s="14" t="n">
        <v>91001</v>
      </c>
      <c r="B5" s="15" t="n">
        <v>91</v>
      </c>
      <c r="C5" s="15" t="s">
        <v>43</v>
      </c>
      <c r="D5" s="14" t="s">
        <v>44</v>
      </c>
      <c r="E5" s="14" t="s">
        <v>48</v>
      </c>
      <c r="F5" s="16" t="n">
        <v>54110</v>
      </c>
      <c r="G5" s="16" t="n">
        <v>85056</v>
      </c>
      <c r="H5" s="16" t="n">
        <v>43532</v>
      </c>
      <c r="I5" s="16" t="n">
        <v>41524</v>
      </c>
      <c r="J5" s="16" t="n">
        <v>20798</v>
      </c>
      <c r="K5" s="16" t="n">
        <v>10378</v>
      </c>
      <c r="L5" s="16" t="n">
        <v>10420</v>
      </c>
      <c r="M5" s="3" t="n">
        <v>0.0606060606060606</v>
      </c>
      <c r="N5" s="4" t="n">
        <f aca="false">M5*100000</f>
        <v>6060.60606060606</v>
      </c>
      <c r="O5" s="2" t="n">
        <v>5</v>
      </c>
      <c r="P5" s="2" t="n">
        <v>1</v>
      </c>
      <c r="Q5" s="6" t="n">
        <v>6</v>
      </c>
      <c r="R5" s="6" t="n">
        <v>7.05</v>
      </c>
      <c r="S5" s="17" t="n">
        <v>6</v>
      </c>
      <c r="T5" s="18" t="n">
        <f aca="false">(S5/J5)*100000</f>
        <v>28.8489277815175</v>
      </c>
      <c r="U5" s="19" t="n">
        <v>21</v>
      </c>
      <c r="V5" s="19" t="n">
        <v>6</v>
      </c>
      <c r="W5" s="19" t="n">
        <v>13</v>
      </c>
      <c r="X5" s="19" t="n">
        <v>119</v>
      </c>
      <c r="Y5" s="19" t="n">
        <v>137</v>
      </c>
      <c r="Z5" s="20" t="n">
        <f aca="false">(Y5/G5)*100000</f>
        <v>161.07035364936</v>
      </c>
      <c r="AA5" s="2" t="n">
        <v>18</v>
      </c>
      <c r="AB5" s="6" t="n">
        <v>4</v>
      </c>
      <c r="AC5" s="4" t="n">
        <f aca="false">(AB5/G5)*100000</f>
        <v>4.70278404815651</v>
      </c>
      <c r="AD5" s="6" t="n">
        <v>116</v>
      </c>
      <c r="AE5" s="4" t="n">
        <f aca="false">(AD5/G5)*100000</f>
        <v>136.380737396539</v>
      </c>
      <c r="AF5" s="6" t="n">
        <v>37</v>
      </c>
      <c r="AG5" s="6" t="n">
        <v>7</v>
      </c>
      <c r="AH5" s="6" t="n">
        <v>18</v>
      </c>
      <c r="AI5" s="4" t="n">
        <f aca="false">(AH5/G5)*100000</f>
        <v>21.1625282167043</v>
      </c>
      <c r="AJ5" s="5" t="n">
        <f aca="false">Y5/J5</f>
        <v>0.00658717184344649</v>
      </c>
      <c r="AK5" s="2" t="n">
        <f aca="false">(Q5/Y5)*100000</f>
        <v>4379.56204379562</v>
      </c>
      <c r="AL5" s="2" t="n">
        <v>46</v>
      </c>
      <c r="AM5" s="4" t="n">
        <f aca="false">(AL5/G5)*100000</f>
        <v>54.0820165537998</v>
      </c>
      <c r="AN5" s="4" t="n">
        <f aca="false">1105.08-AM5</f>
        <v>1050.9979834462</v>
      </c>
      <c r="AO5" s="6" t="n">
        <v>0.67</v>
      </c>
      <c r="AP5" s="6" t="n">
        <v>0.095</v>
      </c>
      <c r="AQ5" s="4" t="n">
        <f aca="false">J5/G5</f>
        <v>0.244521256583898</v>
      </c>
    </row>
    <row r="6" customFormat="false" ht="15" hidden="false" customHeight="false" outlineLevel="0" collapsed="false">
      <c r="A6" s="14" t="n">
        <v>5001</v>
      </c>
      <c r="B6" s="15" t="n">
        <v>5</v>
      </c>
      <c r="C6" s="15" t="s">
        <v>49</v>
      </c>
      <c r="D6" s="14" t="s">
        <v>50</v>
      </c>
      <c r="E6" s="14" t="s">
        <v>45</v>
      </c>
      <c r="F6" s="16" t="n">
        <v>2519592</v>
      </c>
      <c r="G6" s="16" t="n">
        <v>6649401</v>
      </c>
      <c r="H6" s="16" t="n">
        <v>3211901</v>
      </c>
      <c r="I6" s="16" t="n">
        <v>3437500</v>
      </c>
      <c r="J6" s="16" t="n">
        <v>2553115</v>
      </c>
      <c r="K6" s="16" t="n">
        <v>1152264</v>
      </c>
      <c r="L6" s="16" t="n">
        <v>1400851</v>
      </c>
      <c r="M6" s="3" t="n">
        <v>0.0832759807295251</v>
      </c>
      <c r="N6" s="4" t="n">
        <f aca="false">M6*100000</f>
        <v>8327.59807295251</v>
      </c>
      <c r="O6" s="2" t="n">
        <v>1074</v>
      </c>
      <c r="P6" s="2" t="n">
        <v>1052</v>
      </c>
      <c r="Q6" s="6" t="n">
        <v>2126</v>
      </c>
      <c r="R6" s="6" t="n">
        <v>31.97</v>
      </c>
      <c r="S6" s="17" t="n">
        <v>2109</v>
      </c>
      <c r="T6" s="18" t="n">
        <f aca="false">(S6/J6)*100000</f>
        <v>82.6049747073673</v>
      </c>
      <c r="U6" s="19" t="n">
        <v>20788</v>
      </c>
      <c r="V6" s="19" t="n">
        <v>1008</v>
      </c>
      <c r="W6" s="19" t="n">
        <v>1794</v>
      </c>
      <c r="X6" s="19" t="n">
        <v>37091</v>
      </c>
      <c r="Y6" s="19" t="n">
        <v>46954</v>
      </c>
      <c r="Z6" s="20" t="n">
        <f aca="false">(Y6/G6)*100000</f>
        <v>706.138793554487</v>
      </c>
      <c r="AA6" s="2" t="n">
        <v>13036</v>
      </c>
      <c r="AB6" s="6" t="n">
        <v>3183</v>
      </c>
      <c r="AC6" s="4" t="n">
        <f aca="false">(AB6/G6)*100000</f>
        <v>47.8689734609178</v>
      </c>
      <c r="AD6" s="6" t="n">
        <v>36268</v>
      </c>
      <c r="AE6" s="4" t="n">
        <f aca="false">(AD6/G6)*100000</f>
        <v>545.432588589559</v>
      </c>
      <c r="AF6" s="6" t="n">
        <v>22700</v>
      </c>
      <c r="AG6" s="6" t="n">
        <v>3149</v>
      </c>
      <c r="AH6" s="6" t="n">
        <v>2741</v>
      </c>
      <c r="AI6" s="4" t="n">
        <f aca="false">(AH6/G6)*100000</f>
        <v>41.2217581703976</v>
      </c>
      <c r="AJ6" s="5" t="n">
        <f aca="false">Y6/J6</f>
        <v>0.0183908676264093</v>
      </c>
      <c r="AK6" s="2" t="n">
        <f aca="false">(Q6/Y6)*100000</f>
        <v>4527.83575414235</v>
      </c>
      <c r="AL6" s="2" t="n">
        <v>12927</v>
      </c>
      <c r="AM6" s="4" t="n">
        <f aca="false">(AL6/G6)*100000</f>
        <v>194.408488824783</v>
      </c>
      <c r="AN6" s="4" t="n">
        <f aca="false">1105.08-AM6</f>
        <v>910.671511175217</v>
      </c>
      <c r="AO6" s="6" t="n">
        <v>0.948</v>
      </c>
      <c r="AP6" s="6" t="n">
        <v>0.141</v>
      </c>
      <c r="AQ6" s="4" t="n">
        <f aca="false">J6/G6</f>
        <v>0.383961653087248</v>
      </c>
    </row>
    <row r="7" customFormat="false" ht="15" hidden="false" customHeight="false" outlineLevel="0" collapsed="false">
      <c r="A7" s="14" t="n">
        <v>5001</v>
      </c>
      <c r="B7" s="15" t="n">
        <v>5</v>
      </c>
      <c r="C7" s="15" t="s">
        <v>49</v>
      </c>
      <c r="D7" s="14" t="s">
        <v>50</v>
      </c>
      <c r="E7" s="14" t="s">
        <v>46</v>
      </c>
      <c r="F7" s="16" t="n">
        <v>2549008</v>
      </c>
      <c r="G7" s="16" t="n">
        <v>6726219</v>
      </c>
      <c r="H7" s="16" t="n">
        <v>3247822</v>
      </c>
      <c r="I7" s="16" t="n">
        <v>3478397</v>
      </c>
      <c r="J7" s="16" t="n">
        <v>2616193</v>
      </c>
      <c r="K7" s="16" t="n">
        <v>1179898</v>
      </c>
      <c r="L7" s="16" t="n">
        <v>1436295</v>
      </c>
      <c r="M7" s="3" t="n">
        <v>0.0913731495661052</v>
      </c>
      <c r="N7" s="4" t="n">
        <f aca="false">M7*100000</f>
        <v>9137.31495661052</v>
      </c>
      <c r="O7" s="2" t="n">
        <v>1070</v>
      </c>
      <c r="P7" s="2" t="n">
        <v>1260</v>
      </c>
      <c r="Q7" s="6" t="n">
        <v>2330</v>
      </c>
      <c r="R7" s="6" t="n">
        <v>34.64</v>
      </c>
      <c r="S7" s="17" t="n">
        <v>2309</v>
      </c>
      <c r="T7" s="18" t="n">
        <f aca="false">(S7/J7)*100000</f>
        <v>88.2580146036626</v>
      </c>
      <c r="U7" s="19" t="n">
        <v>26620</v>
      </c>
      <c r="V7" s="19" t="n">
        <v>757</v>
      </c>
      <c r="W7" s="19" t="n">
        <v>727</v>
      </c>
      <c r="X7" s="19" t="n">
        <v>35198</v>
      </c>
      <c r="Y7" s="19" t="n">
        <v>48311</v>
      </c>
      <c r="Z7" s="20" t="n">
        <f aca="false">(Y7/G7)*100000</f>
        <v>718.24898951402</v>
      </c>
      <c r="AA7" s="2" t="n">
        <v>12848</v>
      </c>
      <c r="AB7" s="6" t="n">
        <v>5360</v>
      </c>
      <c r="AC7" s="4" t="n">
        <f aca="false">(AB7/G7)*100000</f>
        <v>79.6881576410165</v>
      </c>
      <c r="AD7" s="6" t="n">
        <v>34490</v>
      </c>
      <c r="AE7" s="4" t="n">
        <f aca="false">(AD7/G7)*100000</f>
        <v>512.769506910197</v>
      </c>
      <c r="AF7" s="6" t="n">
        <v>27648</v>
      </c>
      <c r="AG7" s="6" t="n">
        <v>2062</v>
      </c>
      <c r="AH7" s="6" t="n">
        <v>2580</v>
      </c>
      <c r="AI7" s="4" t="n">
        <f aca="false">(AH7/G7)*100000</f>
        <v>38.357359461534</v>
      </c>
      <c r="AJ7" s="5" t="n">
        <f aca="false">Y7/J7</f>
        <v>0.0184661452729214</v>
      </c>
      <c r="AK7" s="2" t="n">
        <f aca="false">(Q7/Y7)*100000</f>
        <v>4822.91817598477</v>
      </c>
      <c r="AL7" s="2" t="n">
        <v>16464</v>
      </c>
      <c r="AM7" s="4" t="n">
        <f aca="false">(AL7/G7)*100000</f>
        <v>244.77347526151</v>
      </c>
      <c r="AN7" s="4" t="n">
        <f aca="false">1105.08-AM7</f>
        <v>860.30652473849</v>
      </c>
      <c r="AO7" s="6" t="n">
        <v>0.936</v>
      </c>
      <c r="AP7" s="6" t="n">
        <v>0.155</v>
      </c>
      <c r="AQ7" s="4" t="n">
        <f aca="false">J7/G7</f>
        <v>0.388954477991276</v>
      </c>
    </row>
    <row r="8" customFormat="false" ht="15" hidden="false" customHeight="false" outlineLevel="0" collapsed="false">
      <c r="A8" s="14" t="n">
        <v>5001</v>
      </c>
      <c r="B8" s="15" t="n">
        <v>5</v>
      </c>
      <c r="C8" s="15" t="s">
        <v>49</v>
      </c>
      <c r="D8" s="14" t="s">
        <v>50</v>
      </c>
      <c r="E8" s="14" t="s">
        <v>47</v>
      </c>
      <c r="F8" s="16" t="n">
        <v>2572350</v>
      </c>
      <c r="G8" s="16" t="n">
        <v>6787846</v>
      </c>
      <c r="H8" s="16" t="n">
        <v>3276175</v>
      </c>
      <c r="I8" s="16" t="n">
        <v>3511671</v>
      </c>
      <c r="J8" s="16" t="n">
        <v>2675125</v>
      </c>
      <c r="K8" s="16" t="n">
        <v>1205725</v>
      </c>
      <c r="L8" s="16" t="n">
        <v>1469400</v>
      </c>
      <c r="M8" s="3" t="n">
        <v>0.0764490339773484</v>
      </c>
      <c r="N8" s="4" t="n">
        <f aca="false">M8*100000</f>
        <v>7644.90339773484</v>
      </c>
      <c r="O8" s="2" t="n">
        <v>1302</v>
      </c>
      <c r="P8" s="2" t="n">
        <v>1479</v>
      </c>
      <c r="Q8" s="6" t="n">
        <v>2781</v>
      </c>
      <c r="R8" s="6" t="n">
        <v>40.97</v>
      </c>
      <c r="S8" s="17" t="n">
        <v>2765</v>
      </c>
      <c r="T8" s="18" t="n">
        <f aca="false">(S8/J8)*100000</f>
        <v>103.359656090837</v>
      </c>
      <c r="U8" s="19" t="n">
        <v>13993</v>
      </c>
      <c r="V8" s="19" t="n">
        <v>1430</v>
      </c>
      <c r="W8" s="19" t="n">
        <v>1907</v>
      </c>
      <c r="X8" s="19" t="n">
        <v>38922</v>
      </c>
      <c r="Y8" s="19" t="n">
        <v>43411</v>
      </c>
      <c r="Z8" s="20" t="n">
        <f aca="false">(Y8/G8)*100000</f>
        <v>639.540142778725</v>
      </c>
      <c r="AA8" s="2" t="n">
        <v>19525</v>
      </c>
      <c r="AB8" s="6" t="n">
        <v>6686</v>
      </c>
      <c r="AC8" s="4" t="n">
        <f aca="false">(AB8/G8)*100000</f>
        <v>98.4995829310211</v>
      </c>
      <c r="AD8" s="6" t="n">
        <v>38167</v>
      </c>
      <c r="AE8" s="4" t="n">
        <f aca="false">(AD8/G8)*100000</f>
        <v>562.284412463099</v>
      </c>
      <c r="AF8" s="6" t="n">
        <v>16080</v>
      </c>
      <c r="AG8" s="6" t="n">
        <v>3735</v>
      </c>
      <c r="AH8" s="6" t="n">
        <v>4342</v>
      </c>
      <c r="AI8" s="4" t="n">
        <f aca="false">(AH8/G8)*100000</f>
        <v>63.9672732704896</v>
      </c>
      <c r="AJ8" s="5" t="n">
        <f aca="false">Y8/J8</f>
        <v>0.0162276529134153</v>
      </c>
      <c r="AK8" s="2" t="n">
        <f aca="false">(Q8/Y8)*100000</f>
        <v>6406.2104075004</v>
      </c>
      <c r="AL8" s="2" t="n">
        <v>47211</v>
      </c>
      <c r="AM8" s="4" t="n">
        <f aca="false">(AL8/G8)*100000</f>
        <v>695.522556050918</v>
      </c>
      <c r="AN8" s="4" t="n">
        <f aca="false">1105.08-AM8</f>
        <v>409.557443949082</v>
      </c>
      <c r="AO8" s="6" t="n">
        <v>0.889</v>
      </c>
      <c r="AP8" s="6" t="n">
        <v>0.102</v>
      </c>
      <c r="AQ8" s="4" t="n">
        <f aca="false">J8/G8</f>
        <v>0.394105140275722</v>
      </c>
    </row>
    <row r="9" customFormat="false" ht="15" hidden="false" customHeight="false" outlineLevel="0" collapsed="false">
      <c r="A9" s="14" t="n">
        <v>5001</v>
      </c>
      <c r="B9" s="15" t="n">
        <v>5</v>
      </c>
      <c r="C9" s="15" t="s">
        <v>49</v>
      </c>
      <c r="D9" s="14" t="s">
        <v>50</v>
      </c>
      <c r="E9" s="14" t="s">
        <v>48</v>
      </c>
      <c r="F9" s="16" t="n">
        <v>2595300</v>
      </c>
      <c r="G9" s="16" t="n">
        <v>6848360</v>
      </c>
      <c r="H9" s="16" t="n">
        <v>3304483</v>
      </c>
      <c r="I9" s="16" t="n">
        <v>3543877</v>
      </c>
      <c r="J9" s="16" t="n">
        <v>2737800</v>
      </c>
      <c r="K9" s="16" t="n">
        <v>1233827</v>
      </c>
      <c r="L9" s="16" t="n">
        <v>1503973</v>
      </c>
      <c r="M9" s="3" t="n">
        <v>0.0658045506629563</v>
      </c>
      <c r="N9" s="4" t="n">
        <f aca="false">M9*100000</f>
        <v>6580.45506629563</v>
      </c>
      <c r="O9" s="2" t="n">
        <v>1287</v>
      </c>
      <c r="P9" s="2" t="n">
        <v>1382</v>
      </c>
      <c r="Q9" s="6" t="n">
        <v>2669</v>
      </c>
      <c r="R9" s="6" t="n">
        <v>38.97</v>
      </c>
      <c r="S9" s="17" t="n">
        <v>2657</v>
      </c>
      <c r="T9" s="18" t="n">
        <f aca="false">(S9/J9)*100000</f>
        <v>97.0487252538535</v>
      </c>
      <c r="U9" s="19" t="n">
        <v>13145</v>
      </c>
      <c r="V9" s="19" t="n">
        <v>1409</v>
      </c>
      <c r="W9" s="19" t="n">
        <v>2181</v>
      </c>
      <c r="X9" s="19" t="n">
        <v>42524</v>
      </c>
      <c r="Y9" s="19" t="n">
        <v>47365</v>
      </c>
      <c r="Z9" s="20" t="n">
        <f aca="false">(Y9/G9)*100000</f>
        <v>691.625440251389</v>
      </c>
      <c r="AA9" s="2" t="n">
        <v>20084</v>
      </c>
      <c r="AB9" s="6" t="n">
        <v>1939</v>
      </c>
      <c r="AC9" s="4" t="n">
        <f aca="false">(AB9/G9)*100000</f>
        <v>28.313348013247</v>
      </c>
      <c r="AD9" s="6" t="n">
        <v>41889</v>
      </c>
      <c r="AE9" s="4" t="n">
        <f aca="false">(AD9/G9)*100000</f>
        <v>611.664690524447</v>
      </c>
      <c r="AF9" s="6" t="n">
        <v>15389</v>
      </c>
      <c r="AG9" s="6" t="n">
        <v>4277</v>
      </c>
      <c r="AH9" s="6" t="n">
        <v>4847</v>
      </c>
      <c r="AI9" s="4" t="n">
        <f aca="false">(AH9/G9)*100000</f>
        <v>70.7760690150635</v>
      </c>
      <c r="AJ9" s="5" t="n">
        <f aca="false">Y9/J9</f>
        <v>0.017300387172182</v>
      </c>
      <c r="AK9" s="2" t="n">
        <f aca="false">(Q9/Y9)*100000</f>
        <v>5634.96252507126</v>
      </c>
      <c r="AL9" s="2" t="n">
        <v>39628</v>
      </c>
      <c r="AM9" s="4" t="n">
        <f aca="false">(AL9/G9)*100000</f>
        <v>578.649486884451</v>
      </c>
      <c r="AN9" s="4" t="n">
        <f aca="false">1105.08-AM9</f>
        <v>526.430513115549</v>
      </c>
      <c r="AO9" s="6" t="n">
        <v>0.931</v>
      </c>
      <c r="AP9" s="6" t="n">
        <v>0.12</v>
      </c>
      <c r="AQ9" s="4" t="n">
        <f aca="false">J9/G9</f>
        <v>0.399774544562494</v>
      </c>
    </row>
    <row r="10" customFormat="false" ht="15" hidden="false" customHeight="false" outlineLevel="0" collapsed="false">
      <c r="A10" s="14" t="n">
        <v>81001</v>
      </c>
      <c r="B10" s="15" t="n">
        <v>81</v>
      </c>
      <c r="C10" s="15" t="s">
        <v>51</v>
      </c>
      <c r="D10" s="14" t="s">
        <v>51</v>
      </c>
      <c r="E10" s="14" t="s">
        <v>45</v>
      </c>
      <c r="F10" s="16" t="n">
        <v>93457</v>
      </c>
      <c r="G10" s="16" t="n">
        <v>291252</v>
      </c>
      <c r="H10" s="16" t="n">
        <v>146443</v>
      </c>
      <c r="I10" s="16" t="n">
        <v>144809</v>
      </c>
      <c r="J10" s="16" t="n">
        <v>86704</v>
      </c>
      <c r="K10" s="16" t="n">
        <v>42950</v>
      </c>
      <c r="L10" s="16" t="n">
        <v>43754</v>
      </c>
      <c r="M10" s="3" t="n">
        <v>0.0334728033472803</v>
      </c>
      <c r="N10" s="4" t="n">
        <f aca="false">M10*100000</f>
        <v>3347.28033472803</v>
      </c>
      <c r="O10" s="2" t="n">
        <v>35</v>
      </c>
      <c r="P10" s="2" t="n">
        <v>17</v>
      </c>
      <c r="Q10" s="6" t="n">
        <v>52</v>
      </c>
      <c r="R10" s="6" t="n">
        <v>17.85</v>
      </c>
      <c r="S10" s="17" t="n">
        <v>49</v>
      </c>
      <c r="T10" s="18" t="n">
        <f aca="false">(S10/J10)*100000</f>
        <v>56.5141169957557</v>
      </c>
      <c r="U10" s="19" t="n">
        <v>59</v>
      </c>
      <c r="V10" s="19" t="n">
        <v>2</v>
      </c>
      <c r="W10" s="19" t="n">
        <v>8</v>
      </c>
      <c r="X10" s="19" t="n">
        <v>652</v>
      </c>
      <c r="Y10" s="19" t="n">
        <v>671</v>
      </c>
      <c r="Z10" s="20" t="n">
        <f aca="false">(Y10/G10)*100000</f>
        <v>230.384684053672</v>
      </c>
      <c r="AA10" s="2" t="n">
        <v>158</v>
      </c>
      <c r="AB10" s="6" t="n">
        <v>12</v>
      </c>
      <c r="AC10" s="4" t="n">
        <f aca="false">(AB10/G10)*100000</f>
        <v>4.12014338098966</v>
      </c>
      <c r="AD10" s="6" t="n">
        <v>624</v>
      </c>
      <c r="AE10" s="4" t="n">
        <f aca="false">(AD10/G10)*100000</f>
        <v>214.247455811462</v>
      </c>
      <c r="AF10" s="6" t="n">
        <v>68</v>
      </c>
      <c r="AG10" s="6" t="n">
        <v>87</v>
      </c>
      <c r="AH10" s="6" t="n">
        <v>55</v>
      </c>
      <c r="AI10" s="4" t="n">
        <f aca="false">(AH10/G10)*100000</f>
        <v>18.8839904962026</v>
      </c>
      <c r="AJ10" s="5" t="n">
        <f aca="false">Y10/J10</f>
        <v>0.0077389739804392</v>
      </c>
      <c r="AK10" s="2" t="n">
        <f aca="false">(Q10/Y10)*100000</f>
        <v>7749.62742175857</v>
      </c>
      <c r="AL10" s="2" t="n">
        <v>299</v>
      </c>
      <c r="AM10" s="4" t="n">
        <f aca="false">(AL10/G10)*100000</f>
        <v>102.660239242992</v>
      </c>
      <c r="AN10" s="4" t="n">
        <f aca="false">1105.08-AM10</f>
        <v>1002.41976075701</v>
      </c>
      <c r="AO10" s="6" t="n">
        <v>0.952</v>
      </c>
      <c r="AP10" s="6" t="n">
        <v>0.075</v>
      </c>
      <c r="AQ10" s="4" t="n">
        <f aca="false">J10/G10</f>
        <v>0.297694093087773</v>
      </c>
    </row>
    <row r="11" customFormat="false" ht="15" hidden="false" customHeight="false" outlineLevel="0" collapsed="false">
      <c r="A11" s="14" t="n">
        <v>81001</v>
      </c>
      <c r="B11" s="15" t="n">
        <v>81</v>
      </c>
      <c r="C11" s="15" t="s">
        <v>51</v>
      </c>
      <c r="D11" s="14" t="s">
        <v>51</v>
      </c>
      <c r="E11" s="14" t="s">
        <v>46</v>
      </c>
      <c r="F11" s="16" t="n">
        <v>95631</v>
      </c>
      <c r="G11" s="16" t="n">
        <v>300637</v>
      </c>
      <c r="H11" s="16" t="n">
        <v>150811</v>
      </c>
      <c r="I11" s="16" t="n">
        <v>149826</v>
      </c>
      <c r="J11" s="16" t="n">
        <v>91045</v>
      </c>
      <c r="K11" s="16" t="n">
        <v>44905</v>
      </c>
      <c r="L11" s="16" t="n">
        <v>46140</v>
      </c>
      <c r="M11" s="3" t="n">
        <v>0.0413223140495868</v>
      </c>
      <c r="N11" s="4" t="n">
        <f aca="false">M11*100000</f>
        <v>4132.23140495868</v>
      </c>
      <c r="O11" s="2" t="n">
        <v>34</v>
      </c>
      <c r="P11" s="2" t="n">
        <v>14</v>
      </c>
      <c r="Q11" s="6" t="n">
        <v>48</v>
      </c>
      <c r="R11" s="6" t="n">
        <v>15.97</v>
      </c>
      <c r="S11" s="17" t="n">
        <v>47</v>
      </c>
      <c r="T11" s="18" t="n">
        <f aca="false">(S11/J11)*100000</f>
        <v>51.6228238783019</v>
      </c>
      <c r="U11" s="19" t="n">
        <v>119</v>
      </c>
      <c r="V11" s="19" t="n">
        <v>1</v>
      </c>
      <c r="W11" s="19" t="n">
        <v>14</v>
      </c>
      <c r="X11" s="19" t="n">
        <v>565</v>
      </c>
      <c r="Y11" s="19" t="n">
        <v>624</v>
      </c>
      <c r="Z11" s="20" t="n">
        <f aca="false">(Y11/G11)*100000</f>
        <v>207.559282456917</v>
      </c>
      <c r="AA11" s="2" t="n">
        <v>176</v>
      </c>
      <c r="AB11" s="6" t="n">
        <v>20</v>
      </c>
      <c r="AC11" s="4" t="n">
        <f aca="false">(AB11/G11)*100000</f>
        <v>6.65254110438835</v>
      </c>
      <c r="AD11" s="6" t="n">
        <v>550</v>
      </c>
      <c r="AE11" s="4" t="n">
        <f aca="false">(AD11/G11)*100000</f>
        <v>182.94488037068</v>
      </c>
      <c r="AF11" s="6" t="n">
        <v>132</v>
      </c>
      <c r="AG11" s="6" t="n">
        <v>29</v>
      </c>
      <c r="AH11" s="6" t="n">
        <v>36</v>
      </c>
      <c r="AI11" s="4" t="n">
        <f aca="false">(AH11/G11)*100000</f>
        <v>11.974573987899</v>
      </c>
      <c r="AJ11" s="5" t="n">
        <f aca="false">Y11/J11</f>
        <v>0.00685375363831073</v>
      </c>
      <c r="AK11" s="2" t="n">
        <f aca="false">(Q11/Y11)*100000</f>
        <v>7692.30769230769</v>
      </c>
      <c r="AL11" s="2" t="n">
        <v>621</v>
      </c>
      <c r="AM11" s="4" t="n">
        <f aca="false">(AL11/G11)*100000</f>
        <v>206.561401291258</v>
      </c>
      <c r="AN11" s="4" t="n">
        <f aca="false">1105.08-AM11</f>
        <v>898.518598708742</v>
      </c>
      <c r="AO11" s="6" t="n">
        <v>0.928</v>
      </c>
      <c r="AP11" s="6" t="n">
        <v>0.057</v>
      </c>
      <c r="AQ11" s="4" t="n">
        <f aca="false">J11/G11</f>
        <v>0.302840302424519</v>
      </c>
    </row>
    <row r="12" customFormat="false" ht="15" hidden="false" customHeight="false" outlineLevel="0" collapsed="false">
      <c r="A12" s="14" t="n">
        <v>81001</v>
      </c>
      <c r="B12" s="15" t="n">
        <v>81</v>
      </c>
      <c r="C12" s="15" t="s">
        <v>51</v>
      </c>
      <c r="D12" s="14" t="s">
        <v>51</v>
      </c>
      <c r="E12" s="14" t="s">
        <v>47</v>
      </c>
      <c r="F12" s="16" t="n">
        <v>97771</v>
      </c>
      <c r="G12" s="16" t="n">
        <v>307628</v>
      </c>
      <c r="H12" s="16" t="n">
        <v>153918</v>
      </c>
      <c r="I12" s="16" t="n">
        <v>153710</v>
      </c>
      <c r="J12" s="16" t="n">
        <v>94809</v>
      </c>
      <c r="K12" s="16" t="n">
        <v>46563</v>
      </c>
      <c r="L12" s="16" t="n">
        <v>48246</v>
      </c>
      <c r="M12" s="3" t="n">
        <v>0.036734693877551</v>
      </c>
      <c r="N12" s="4" t="n">
        <f aca="false">M12*100000</f>
        <v>3673.4693877551</v>
      </c>
      <c r="O12" s="2" t="n">
        <v>35</v>
      </c>
      <c r="P12" s="2" t="n">
        <v>32</v>
      </c>
      <c r="Q12" s="6" t="n">
        <v>67</v>
      </c>
      <c r="R12" s="6" t="n">
        <v>21.78</v>
      </c>
      <c r="S12" s="17" t="n">
        <v>66</v>
      </c>
      <c r="T12" s="18" t="n">
        <f aca="false">(S12/J12)*100000</f>
        <v>69.6136442742778</v>
      </c>
      <c r="U12" s="19" t="n">
        <v>142</v>
      </c>
      <c r="V12" s="19" t="n">
        <v>13</v>
      </c>
      <c r="W12" s="19" t="n">
        <v>7</v>
      </c>
      <c r="X12" s="19" t="n">
        <v>669</v>
      </c>
      <c r="Y12" s="19" t="n">
        <v>729</v>
      </c>
      <c r="Z12" s="20" t="n">
        <f aca="false">(Y12/G12)*100000</f>
        <v>236.974527676284</v>
      </c>
      <c r="AA12" s="2" t="n">
        <v>282</v>
      </c>
      <c r="AB12" s="6" t="n">
        <v>26</v>
      </c>
      <c r="AC12" s="4" t="n">
        <f aca="false">(AB12/G12)*100000</f>
        <v>8.45176641918161</v>
      </c>
      <c r="AD12" s="6" t="n">
        <v>641</v>
      </c>
      <c r="AE12" s="4" t="n">
        <f aca="false">(AD12/G12)*100000</f>
        <v>208.368549026747</v>
      </c>
      <c r="AF12" s="6" t="n">
        <v>159</v>
      </c>
      <c r="AG12" s="6" t="n">
        <v>56</v>
      </c>
      <c r="AH12" s="6" t="n">
        <v>82</v>
      </c>
      <c r="AI12" s="4" t="n">
        <f aca="false">(AH12/G12)*100000</f>
        <v>26.655571014342</v>
      </c>
      <c r="AJ12" s="5" t="n">
        <f aca="false">Y12/J12</f>
        <v>0.00768914343574977</v>
      </c>
      <c r="AK12" s="2" t="n">
        <f aca="false">(Q12/Y12)*100000</f>
        <v>9190.67215363512</v>
      </c>
      <c r="AL12" s="2" t="n">
        <v>529</v>
      </c>
      <c r="AM12" s="4" t="n">
        <f aca="false">(AL12/G12)*100000</f>
        <v>171.960939836426</v>
      </c>
      <c r="AN12" s="4" t="n">
        <f aca="false">1105.08-AM12</f>
        <v>933.119060163574</v>
      </c>
      <c r="AO12" s="6" t="n">
        <v>0.945</v>
      </c>
      <c r="AP12" s="6" t="n">
        <v>0.038</v>
      </c>
      <c r="AQ12" s="4" t="n">
        <f aca="false">J12/G12</f>
        <v>0.308193662475457</v>
      </c>
    </row>
    <row r="13" customFormat="false" ht="15" hidden="false" customHeight="false" outlineLevel="0" collapsed="false">
      <c r="A13" s="14" t="n">
        <v>81001</v>
      </c>
      <c r="B13" s="15" t="n">
        <v>81</v>
      </c>
      <c r="C13" s="15" t="s">
        <v>51</v>
      </c>
      <c r="D13" s="14" t="s">
        <v>51</v>
      </c>
      <c r="E13" s="14" t="s">
        <v>48</v>
      </c>
      <c r="F13" s="16" t="n">
        <v>99393</v>
      </c>
      <c r="G13" s="16" t="n">
        <v>313097</v>
      </c>
      <c r="H13" s="16" t="n">
        <v>156269</v>
      </c>
      <c r="I13" s="16" t="n">
        <v>156828</v>
      </c>
      <c r="J13" s="16" t="n">
        <v>98257</v>
      </c>
      <c r="K13" s="16" t="n">
        <v>48075</v>
      </c>
      <c r="L13" s="16" t="n">
        <v>50182</v>
      </c>
      <c r="M13" s="3" t="n">
        <v>0.0717131474103586</v>
      </c>
      <c r="N13" s="4" t="n">
        <f aca="false">M13*100000</f>
        <v>7171.31474103586</v>
      </c>
      <c r="O13" s="2" t="n">
        <v>30</v>
      </c>
      <c r="P13" s="2" t="n">
        <v>22</v>
      </c>
      <c r="Q13" s="6" t="n">
        <v>52</v>
      </c>
      <c r="R13" s="6" t="n">
        <v>16.61</v>
      </c>
      <c r="S13" s="17" t="n">
        <v>51</v>
      </c>
      <c r="T13" s="18" t="n">
        <f aca="false">(S13/J13)*100000</f>
        <v>51.9046989018594</v>
      </c>
      <c r="U13" s="19" t="n">
        <v>107</v>
      </c>
      <c r="V13" s="19" t="n">
        <v>4</v>
      </c>
      <c r="W13" s="19" t="n">
        <v>5</v>
      </c>
      <c r="X13" s="19" t="n">
        <v>667</v>
      </c>
      <c r="Y13" s="19" t="n">
        <v>706</v>
      </c>
      <c r="Z13" s="20" t="n">
        <f aca="false">(Y13/G13)*100000</f>
        <v>225.489225383827</v>
      </c>
      <c r="AA13" s="2" t="n">
        <v>228</v>
      </c>
      <c r="AB13" s="6" t="n">
        <v>19</v>
      </c>
      <c r="AC13" s="4" t="n">
        <f aca="false">(AB13/G13)*100000</f>
        <v>6.06840691542876</v>
      </c>
      <c r="AD13" s="6" t="n">
        <v>651</v>
      </c>
      <c r="AE13" s="4" t="n">
        <f aca="false">(AD13/G13)*100000</f>
        <v>207.922784312849</v>
      </c>
      <c r="AF13" s="6" t="n">
        <v>115</v>
      </c>
      <c r="AG13" s="6" t="n">
        <v>52</v>
      </c>
      <c r="AH13" s="6" t="n">
        <v>57</v>
      </c>
      <c r="AI13" s="4" t="n">
        <f aca="false">(AH13/G13)*100000</f>
        <v>18.2052207462863</v>
      </c>
      <c r="AJ13" s="5" t="n">
        <f aca="false">Y13/J13</f>
        <v>0.00718523871072799</v>
      </c>
      <c r="AK13" s="2" t="n">
        <f aca="false">(Q13/Y13)*100000</f>
        <v>7365.43909348442</v>
      </c>
      <c r="AL13" s="2" t="n">
        <v>474</v>
      </c>
      <c r="AM13" s="4" t="n">
        <f aca="false">(AL13/G13)*100000</f>
        <v>151.390783048065</v>
      </c>
      <c r="AN13" s="4" t="n">
        <f aca="false">1105.08-AM13</f>
        <v>953.689216951935</v>
      </c>
      <c r="AO13" s="6" t="n">
        <v>0.926</v>
      </c>
      <c r="AP13" s="6" t="n">
        <v>0.036</v>
      </c>
      <c r="AQ13" s="4" t="n">
        <f aca="false">J13/G13</f>
        <v>0.313822872783834</v>
      </c>
    </row>
    <row r="14" customFormat="false" ht="15" hidden="false" customHeight="false" outlineLevel="0" collapsed="false">
      <c r="A14" s="14" t="n">
        <v>88001</v>
      </c>
      <c r="B14" s="15" t="n">
        <v>88</v>
      </c>
      <c r="C14" s="15" t="s">
        <v>52</v>
      </c>
      <c r="D14" s="14" t="s">
        <v>53</v>
      </c>
      <c r="E14" s="14" t="s">
        <v>45</v>
      </c>
      <c r="F14" s="16" t="n">
        <v>55945</v>
      </c>
      <c r="G14" s="16" t="n">
        <v>61898</v>
      </c>
      <c r="H14" s="16" t="n">
        <v>29765</v>
      </c>
      <c r="I14" s="16" t="n">
        <v>32133</v>
      </c>
      <c r="J14" s="16" t="n">
        <v>24727</v>
      </c>
      <c r="K14" s="16" t="n">
        <v>11142</v>
      </c>
      <c r="L14" s="16" t="n">
        <v>13585</v>
      </c>
      <c r="M14" s="3" t="n">
        <v>0.0277777777777778</v>
      </c>
      <c r="N14" s="4" t="n">
        <f aca="false">M14*100000</f>
        <v>2777.77777777778</v>
      </c>
      <c r="O14" s="2" t="n">
        <v>12</v>
      </c>
      <c r="P14" s="2" t="n">
        <v>2</v>
      </c>
      <c r="Q14" s="6" t="n">
        <v>14</v>
      </c>
      <c r="R14" s="6" t="n">
        <v>22.62</v>
      </c>
      <c r="S14" s="17" t="n">
        <v>14</v>
      </c>
      <c r="T14" s="18" t="n">
        <f aca="false">(S14/J14)*100000</f>
        <v>56.6182715250536</v>
      </c>
      <c r="U14" s="19" t="n">
        <v>5</v>
      </c>
      <c r="V14" s="19" t="n">
        <v>2</v>
      </c>
      <c r="W14" s="19" t="n">
        <v>0</v>
      </c>
      <c r="X14" s="19" t="n">
        <v>115</v>
      </c>
      <c r="Y14" s="19" t="n">
        <v>120</v>
      </c>
      <c r="Z14" s="20" t="n">
        <f aca="false">(Y14/G14)*100000</f>
        <v>193.867330123752</v>
      </c>
      <c r="AA14" s="2" t="n">
        <v>38</v>
      </c>
      <c r="AB14" s="6" t="n">
        <v>2</v>
      </c>
      <c r="AC14" s="4" t="n">
        <f aca="false">(AB14/G14)*100000</f>
        <v>3.2311221687292</v>
      </c>
      <c r="AD14" s="6" t="n">
        <v>112</v>
      </c>
      <c r="AE14" s="4" t="n">
        <f aca="false">(AD14/G14)*100000</f>
        <v>180.942841448835</v>
      </c>
      <c r="AF14" s="6" t="n">
        <v>7</v>
      </c>
      <c r="AG14" s="6" t="n">
        <v>15</v>
      </c>
      <c r="AH14" s="6" t="n">
        <v>13</v>
      </c>
      <c r="AI14" s="4" t="n">
        <f aca="false">(AH14/G14)*100000</f>
        <v>21.0022940967398</v>
      </c>
      <c r="AJ14" s="5" t="n">
        <f aca="false">Y14/J14</f>
        <v>0.00485299470214745</v>
      </c>
      <c r="AK14" s="2" t="n">
        <f aca="false">(Q14/Y14)*100000</f>
        <v>11666.6666666667</v>
      </c>
      <c r="AL14" s="2" t="n">
        <v>5</v>
      </c>
      <c r="AM14" s="4" t="n">
        <f aca="false">(AL14/G14)*100000</f>
        <v>8.077805421823</v>
      </c>
      <c r="AN14" s="4" t="n">
        <f aca="false">1105.08-AM14</f>
        <v>1097.00219457818</v>
      </c>
      <c r="AO14" s="6" t="n">
        <v>0.852</v>
      </c>
      <c r="AP14" s="6" t="n">
        <v>0.281</v>
      </c>
      <c r="AQ14" s="4" t="n">
        <f aca="false">J14/G14</f>
        <v>0.399479789330835</v>
      </c>
    </row>
    <row r="15" customFormat="false" ht="15" hidden="false" customHeight="false" outlineLevel="0" collapsed="false">
      <c r="A15" s="14" t="n">
        <v>88001</v>
      </c>
      <c r="B15" s="15" t="n">
        <v>88</v>
      </c>
      <c r="C15" s="15" t="s">
        <v>52</v>
      </c>
      <c r="D15" s="14" t="s">
        <v>53</v>
      </c>
      <c r="E15" s="14" t="s">
        <v>46</v>
      </c>
      <c r="F15" s="16" t="n">
        <v>56226</v>
      </c>
      <c r="G15" s="16" t="n">
        <v>62159</v>
      </c>
      <c r="H15" s="16" t="n">
        <v>29821</v>
      </c>
      <c r="I15" s="16" t="n">
        <v>32338</v>
      </c>
      <c r="J15" s="16" t="n">
        <v>25195</v>
      </c>
      <c r="K15" s="16" t="n">
        <v>11304</v>
      </c>
      <c r="L15" s="16" t="n">
        <v>13891</v>
      </c>
      <c r="M15" s="3" t="n">
        <v>0.0277777777777778</v>
      </c>
      <c r="N15" s="4" t="n">
        <f aca="false">M15*100000</f>
        <v>2777.77777777778</v>
      </c>
      <c r="O15" s="2" t="n">
        <v>6</v>
      </c>
      <c r="P15" s="2" t="n">
        <v>1</v>
      </c>
      <c r="Q15" s="6" t="n">
        <v>7</v>
      </c>
      <c r="R15" s="6" t="n">
        <v>11.26</v>
      </c>
      <c r="S15" s="17" t="n">
        <v>7</v>
      </c>
      <c r="T15" s="18" t="n">
        <f aca="false">(S15/J15)*100000</f>
        <v>27.783290335384</v>
      </c>
      <c r="U15" s="19" t="n">
        <v>11</v>
      </c>
      <c r="V15" s="19" t="n">
        <v>1</v>
      </c>
      <c r="W15" s="19" t="n">
        <v>1</v>
      </c>
      <c r="X15" s="19" t="n">
        <v>80</v>
      </c>
      <c r="Y15" s="19" t="n">
        <v>84</v>
      </c>
      <c r="Z15" s="20" t="n">
        <f aca="false">(Y15/G15)*100000</f>
        <v>135.13730915877</v>
      </c>
      <c r="AA15" s="2" t="n">
        <v>24</v>
      </c>
      <c r="AB15" s="6" t="n">
        <v>2</v>
      </c>
      <c r="AC15" s="4" t="n">
        <f aca="false">(AB15/G15)*100000</f>
        <v>3.21755497997072</v>
      </c>
      <c r="AD15" s="6" t="n">
        <v>80</v>
      </c>
      <c r="AE15" s="4" t="n">
        <f aca="false">(AD15/G15)*100000</f>
        <v>128.702199198829</v>
      </c>
      <c r="AF15" s="6" t="n">
        <v>13</v>
      </c>
      <c r="AG15" s="6" t="n">
        <v>5</v>
      </c>
      <c r="AH15" s="6" t="n">
        <v>3</v>
      </c>
      <c r="AI15" s="4" t="n">
        <f aca="false">(AH15/G15)*100000</f>
        <v>4.82633246995608</v>
      </c>
      <c r="AJ15" s="5" t="n">
        <f aca="false">Y15/J15</f>
        <v>0.00333399484024608</v>
      </c>
      <c r="AK15" s="2" t="n">
        <f aca="false">(Q15/Y15)*100000</f>
        <v>8333.33333333333</v>
      </c>
      <c r="AL15" s="2" t="n">
        <v>2</v>
      </c>
      <c r="AM15" s="4" t="n">
        <f aca="false">(AL15/G15)*100000</f>
        <v>3.21755497997072</v>
      </c>
      <c r="AN15" s="4" t="n">
        <f aca="false">1105.08-AM15</f>
        <v>1101.86244502003</v>
      </c>
      <c r="AO15" s="6" t="n">
        <v>0.95</v>
      </c>
      <c r="AP15" s="6" t="n">
        <v>0.268</v>
      </c>
      <c r="AQ15" s="4" t="n">
        <f aca="false">J15/G15</f>
        <v>0.405331488601812</v>
      </c>
    </row>
    <row r="16" customFormat="false" ht="15" hidden="false" customHeight="false" outlineLevel="0" collapsed="false">
      <c r="A16" s="14" t="n">
        <v>88001</v>
      </c>
      <c r="B16" s="15" t="n">
        <v>88</v>
      </c>
      <c r="C16" s="15" t="s">
        <v>52</v>
      </c>
      <c r="D16" s="14" t="s">
        <v>53</v>
      </c>
      <c r="E16" s="14" t="s">
        <v>47</v>
      </c>
      <c r="F16" s="16" t="n">
        <v>56318</v>
      </c>
      <c r="G16" s="16" t="n">
        <v>62255</v>
      </c>
      <c r="H16" s="16" t="n">
        <v>29780</v>
      </c>
      <c r="I16" s="16" t="n">
        <v>32475</v>
      </c>
      <c r="J16" s="16" t="n">
        <v>25645</v>
      </c>
      <c r="K16" s="16" t="n">
        <v>11452</v>
      </c>
      <c r="L16" s="16" t="n">
        <v>14193</v>
      </c>
      <c r="M16" s="3" t="n">
        <v>0.0277777777777778</v>
      </c>
      <c r="N16" s="4" t="n">
        <f aca="false">M16*100000</f>
        <v>2777.77777777778</v>
      </c>
      <c r="O16" s="2" t="n">
        <v>5</v>
      </c>
      <c r="P16" s="2" t="n">
        <v>5</v>
      </c>
      <c r="Q16" s="6" t="n">
        <v>10</v>
      </c>
      <c r="R16" s="6" t="n">
        <v>16.06</v>
      </c>
      <c r="S16" s="17" t="n">
        <v>10</v>
      </c>
      <c r="T16" s="18" t="n">
        <f aca="false">(S16/J16)*100000</f>
        <v>38.9939559368298</v>
      </c>
      <c r="U16" s="19" t="n">
        <v>7</v>
      </c>
      <c r="V16" s="19" t="n">
        <v>18</v>
      </c>
      <c r="W16" s="19" t="n">
        <v>10</v>
      </c>
      <c r="X16" s="19" t="n">
        <v>112</v>
      </c>
      <c r="Y16" s="19" t="n">
        <v>116</v>
      </c>
      <c r="Z16" s="20" t="n">
        <f aca="false">(Y16/G16)*100000</f>
        <v>186.330415227693</v>
      </c>
      <c r="AA16" s="2" t="n">
        <v>72</v>
      </c>
      <c r="AB16" s="6" t="n">
        <v>2</v>
      </c>
      <c r="AC16" s="4" t="n">
        <f aca="false">(AB16/G16)*100000</f>
        <v>3.2125933659947</v>
      </c>
      <c r="AD16" s="6" t="n">
        <v>107</v>
      </c>
      <c r="AE16" s="4" t="n">
        <f aca="false">(AD16/G16)*100000</f>
        <v>171.873745080716</v>
      </c>
      <c r="AF16" s="6" t="n">
        <v>31</v>
      </c>
      <c r="AG16" s="6" t="n">
        <v>22</v>
      </c>
      <c r="AH16" s="6" t="n">
        <v>19</v>
      </c>
      <c r="AI16" s="4" t="n">
        <f aca="false">(AH16/G16)*100000</f>
        <v>30.5196369769496</v>
      </c>
      <c r="AJ16" s="5" t="n">
        <f aca="false">Y16/J16</f>
        <v>0.00452329888867226</v>
      </c>
      <c r="AK16" s="2" t="n">
        <f aca="false">(Q16/Y16)*100000</f>
        <v>8620.68965517242</v>
      </c>
      <c r="AL16" s="2" t="n">
        <v>27</v>
      </c>
      <c r="AM16" s="4" t="n">
        <f aca="false">(AL16/G16)*100000</f>
        <v>43.3700104409284</v>
      </c>
      <c r="AN16" s="4" t="n">
        <f aca="false">1105.08-AM16</f>
        <v>1061.70998955907</v>
      </c>
      <c r="AO16" s="6" t="n">
        <v>0.958</v>
      </c>
      <c r="AP16" s="6" t="n">
        <v>0.194</v>
      </c>
      <c r="AQ16" s="4" t="n">
        <f aca="false">J16/G16</f>
        <v>0.41193478435467</v>
      </c>
    </row>
    <row r="17" customFormat="false" ht="15" hidden="false" customHeight="false" outlineLevel="0" collapsed="false">
      <c r="A17" s="14" t="n">
        <v>88001</v>
      </c>
      <c r="B17" s="15" t="n">
        <v>88</v>
      </c>
      <c r="C17" s="15" t="s">
        <v>52</v>
      </c>
      <c r="D17" s="14" t="s">
        <v>53</v>
      </c>
      <c r="E17" s="14" t="s">
        <v>48</v>
      </c>
      <c r="F17" s="16" t="n">
        <v>56333</v>
      </c>
      <c r="G17" s="16" t="n">
        <v>62269</v>
      </c>
      <c r="H17" s="16" t="n">
        <v>29698</v>
      </c>
      <c r="I17" s="16" t="n">
        <v>32571</v>
      </c>
      <c r="J17" s="16" t="n">
        <v>26083</v>
      </c>
      <c r="K17" s="16" t="n">
        <v>11591</v>
      </c>
      <c r="L17" s="16" t="n">
        <v>14492</v>
      </c>
      <c r="M17" s="3" t="n">
        <v>0</v>
      </c>
      <c r="N17" s="4" t="n">
        <f aca="false">M17*100000</f>
        <v>0</v>
      </c>
      <c r="O17" s="2" t="n">
        <v>6</v>
      </c>
      <c r="P17" s="2" t="n">
        <v>6</v>
      </c>
      <c r="Q17" s="6" t="n">
        <v>12</v>
      </c>
      <c r="R17" s="6" t="n">
        <v>19.27</v>
      </c>
      <c r="S17" s="17" t="n">
        <v>12</v>
      </c>
      <c r="T17" s="18" t="n">
        <f aca="false">(S17/J17)*100000</f>
        <v>46.006977724955</v>
      </c>
      <c r="U17" s="19" t="n">
        <v>8</v>
      </c>
      <c r="V17" s="19" t="n">
        <v>17</v>
      </c>
      <c r="W17" s="19" t="n">
        <v>5</v>
      </c>
      <c r="X17" s="19" t="n">
        <v>114</v>
      </c>
      <c r="Y17" s="19" t="n">
        <v>118</v>
      </c>
      <c r="Z17" s="20" t="n">
        <f aca="false">(Y17/G17)*100000</f>
        <v>189.500393454207</v>
      </c>
      <c r="AA17" s="2" t="n">
        <v>75</v>
      </c>
      <c r="AB17" s="6" t="n">
        <v>2</v>
      </c>
      <c r="AC17" s="4" t="n">
        <f aca="false">(AB17/G17)*100000</f>
        <v>3.21187107549503</v>
      </c>
      <c r="AD17" s="6" t="n">
        <v>111</v>
      </c>
      <c r="AE17" s="4" t="n">
        <f aca="false">(AD17/G17)*100000</f>
        <v>178.258844689974</v>
      </c>
      <c r="AF17" s="6" t="n">
        <v>27</v>
      </c>
      <c r="AG17" s="6" t="n">
        <v>18</v>
      </c>
      <c r="AH17" s="6" t="n">
        <v>16</v>
      </c>
      <c r="AI17" s="4" t="n">
        <f aca="false">(AH17/G17)*100000</f>
        <v>25.6949686039602</v>
      </c>
      <c r="AJ17" s="5" t="n">
        <f aca="false">Y17/J17</f>
        <v>0.00452401947628724</v>
      </c>
      <c r="AK17" s="2" t="n">
        <f aca="false">(Q17/Y17)*100000</f>
        <v>10169.4915254237</v>
      </c>
      <c r="AL17" s="2" t="n">
        <v>21</v>
      </c>
      <c r="AM17" s="4" t="n">
        <f aca="false">(AL17/G17)*100000</f>
        <v>33.7246462926978</v>
      </c>
      <c r="AN17" s="4" t="n">
        <f aca="false">1105.08-AM17</f>
        <v>1071.3553537073</v>
      </c>
      <c r="AO17" s="6" t="n">
        <v>0.956</v>
      </c>
      <c r="AP17" s="6" t="n">
        <v>0.184</v>
      </c>
      <c r="AQ17" s="4" t="n">
        <f aca="false">J17/G17</f>
        <v>0.418876166310684</v>
      </c>
    </row>
    <row r="18" customFormat="false" ht="15" hidden="false" customHeight="false" outlineLevel="0" collapsed="false">
      <c r="A18" s="14" t="n">
        <v>8001</v>
      </c>
      <c r="B18" s="15" t="n">
        <v>8</v>
      </c>
      <c r="C18" s="15" t="s">
        <v>54</v>
      </c>
      <c r="D18" s="14" t="s">
        <v>55</v>
      </c>
      <c r="E18" s="14" t="s">
        <v>45</v>
      </c>
      <c r="F18" s="16" t="n">
        <v>1275264</v>
      </c>
      <c r="G18" s="16" t="n">
        <v>2693665</v>
      </c>
      <c r="H18" s="16" t="n">
        <v>1313901</v>
      </c>
      <c r="I18" s="16" t="n">
        <v>1379764</v>
      </c>
      <c r="J18" s="16" t="n">
        <v>943989</v>
      </c>
      <c r="K18" s="16" t="n">
        <v>436264</v>
      </c>
      <c r="L18" s="16" t="n">
        <v>507725</v>
      </c>
      <c r="M18" s="3" t="n">
        <v>0.0283595113438045</v>
      </c>
      <c r="N18" s="4" t="n">
        <f aca="false">M18*100000</f>
        <v>2835.95113438045</v>
      </c>
      <c r="O18" s="2" t="n">
        <v>293</v>
      </c>
      <c r="P18" s="2" t="n">
        <v>199</v>
      </c>
      <c r="Q18" s="6" t="n">
        <v>492</v>
      </c>
      <c r="R18" s="6" t="n">
        <v>18.27</v>
      </c>
      <c r="S18" s="17" t="n">
        <v>489</v>
      </c>
      <c r="T18" s="18" t="n">
        <f aca="false">(S18/J18)*100000</f>
        <v>51.8014510762308</v>
      </c>
      <c r="U18" s="19" t="n">
        <v>1829</v>
      </c>
      <c r="V18" s="19" t="n">
        <v>181</v>
      </c>
      <c r="W18" s="19" t="n">
        <v>244</v>
      </c>
      <c r="X18" s="19" t="n">
        <v>6202</v>
      </c>
      <c r="Y18" s="19" t="n">
        <v>7187</v>
      </c>
      <c r="Z18" s="20" t="n">
        <f aca="false">(Y18/G18)*100000</f>
        <v>266.811203323353</v>
      </c>
      <c r="AA18" s="2" t="n">
        <v>1465</v>
      </c>
      <c r="AB18" s="6" t="n">
        <v>359</v>
      </c>
      <c r="AC18" s="4" t="n">
        <f aca="false">(AB18/G18)*100000</f>
        <v>13.3275667167224</v>
      </c>
      <c r="AD18" s="6" t="n">
        <v>5984</v>
      </c>
      <c r="AE18" s="4" t="n">
        <f aca="false">(AD18/G18)*100000</f>
        <v>222.150861372888</v>
      </c>
      <c r="AF18" s="6" t="n">
        <v>2193</v>
      </c>
      <c r="AG18" s="6" t="n">
        <v>500</v>
      </c>
      <c r="AH18" s="6" t="n">
        <v>379</v>
      </c>
      <c r="AI18" s="4" t="n">
        <f aca="false">(AH18/G18)*100000</f>
        <v>14.0700495421665</v>
      </c>
      <c r="AJ18" s="5" t="n">
        <f aca="false">Y18/J18</f>
        <v>0.00761343617351473</v>
      </c>
      <c r="AK18" s="2" t="n">
        <f aca="false">(Q18/Y18)*100000</f>
        <v>6845.69361346876</v>
      </c>
      <c r="AL18" s="2" t="n">
        <v>2571</v>
      </c>
      <c r="AM18" s="4" t="n">
        <f aca="false">(AL18/G18)*100000</f>
        <v>95.4461672108447</v>
      </c>
      <c r="AN18" s="4" t="n">
        <f aca="false">1105.08-AM18</f>
        <v>1009.63383278916</v>
      </c>
      <c r="AO18" s="6" t="n">
        <v>0.822</v>
      </c>
      <c r="AP18" s="6" t="n">
        <v>0.117</v>
      </c>
      <c r="AQ18" s="4" t="n">
        <f aca="false">J18/G18</f>
        <v>0.350447809954096</v>
      </c>
    </row>
    <row r="19" customFormat="false" ht="15" hidden="false" customHeight="false" outlineLevel="0" collapsed="false">
      <c r="A19" s="14" t="n">
        <v>8001</v>
      </c>
      <c r="B19" s="15" t="n">
        <v>8</v>
      </c>
      <c r="C19" s="15" t="s">
        <v>54</v>
      </c>
      <c r="D19" s="14" t="s">
        <v>55</v>
      </c>
      <c r="E19" s="14" t="s">
        <v>46</v>
      </c>
      <c r="F19" s="16" t="n">
        <v>1294390</v>
      </c>
      <c r="G19" s="16" t="n">
        <v>2741002</v>
      </c>
      <c r="H19" s="16" t="n">
        <v>1337025</v>
      </c>
      <c r="I19" s="16" t="n">
        <v>1403977</v>
      </c>
      <c r="J19" s="16" t="n">
        <v>970964</v>
      </c>
      <c r="K19" s="16" t="n">
        <v>448348</v>
      </c>
      <c r="L19" s="16" t="n">
        <v>522616</v>
      </c>
      <c r="M19" s="3" t="n">
        <v>0.0275624461670973</v>
      </c>
      <c r="N19" s="4" t="n">
        <f aca="false">M19*100000</f>
        <v>2756.24461670973</v>
      </c>
      <c r="O19" s="2" t="n">
        <v>264</v>
      </c>
      <c r="P19" s="2" t="n">
        <v>198</v>
      </c>
      <c r="Q19" s="6" t="n">
        <v>462</v>
      </c>
      <c r="R19" s="6" t="n">
        <v>16.86</v>
      </c>
      <c r="S19" s="17" t="n">
        <v>456</v>
      </c>
      <c r="T19" s="18" t="n">
        <f aca="false">(S19/J19)*100000</f>
        <v>46.96363613893</v>
      </c>
      <c r="U19" s="19" t="n">
        <v>2476</v>
      </c>
      <c r="V19" s="19" t="n">
        <v>130</v>
      </c>
      <c r="W19" s="19" t="n">
        <v>84</v>
      </c>
      <c r="X19" s="19" t="n">
        <v>6343</v>
      </c>
      <c r="Y19" s="19" t="n">
        <v>7534</v>
      </c>
      <c r="Z19" s="20" t="n">
        <f aca="false">(Y19/G19)*100000</f>
        <v>274.862988060571</v>
      </c>
      <c r="AA19" s="2" t="n">
        <v>1743</v>
      </c>
      <c r="AB19" s="6" t="n">
        <v>425</v>
      </c>
      <c r="AC19" s="4" t="n">
        <f aca="false">(AB19/G19)*100000</f>
        <v>15.5052787265387</v>
      </c>
      <c r="AD19" s="6" t="n">
        <v>6233</v>
      </c>
      <c r="AE19" s="4" t="n">
        <f aca="false">(AD19/G19)*100000</f>
        <v>227.398593652978</v>
      </c>
      <c r="AF19" s="6" t="n">
        <v>2637</v>
      </c>
      <c r="AG19" s="6" t="n">
        <v>297</v>
      </c>
      <c r="AH19" s="6" t="n">
        <v>209</v>
      </c>
      <c r="AI19" s="4" t="n">
        <f aca="false">(AH19/G19)*100000</f>
        <v>7.6249488325802</v>
      </c>
      <c r="AJ19" s="5" t="n">
        <f aca="false">Y19/J19</f>
        <v>0.00775929900593637</v>
      </c>
      <c r="AK19" s="2" t="n">
        <f aca="false">(Q19/Y19)*100000</f>
        <v>6132.20069020441</v>
      </c>
      <c r="AL19" s="2" t="n">
        <v>4144</v>
      </c>
      <c r="AM19" s="4" t="n">
        <f aca="false">(AL19/G19)*100000</f>
        <v>151.185588335944</v>
      </c>
      <c r="AN19" s="4" t="n">
        <f aca="false">1105.08-AM19</f>
        <v>953.894411664056</v>
      </c>
      <c r="AO19" s="6" t="n">
        <v>0.966</v>
      </c>
      <c r="AP19" s="6" t="n">
        <v>0.109</v>
      </c>
      <c r="AQ19" s="4" t="n">
        <f aca="false">J19/G19</f>
        <v>0.354236881257292</v>
      </c>
    </row>
    <row r="20" customFormat="false" ht="15" hidden="false" customHeight="false" outlineLevel="0" collapsed="false">
      <c r="A20" s="14" t="n">
        <v>8001</v>
      </c>
      <c r="B20" s="15" t="n">
        <v>8</v>
      </c>
      <c r="C20" s="15" t="s">
        <v>54</v>
      </c>
      <c r="D20" s="14" t="s">
        <v>55</v>
      </c>
      <c r="E20" s="14" t="s">
        <v>47</v>
      </c>
      <c r="F20" s="16" t="n">
        <v>1310163</v>
      </c>
      <c r="G20" s="16" t="n">
        <v>2774958</v>
      </c>
      <c r="H20" s="16" t="n">
        <v>1353916</v>
      </c>
      <c r="I20" s="16" t="n">
        <v>1421042</v>
      </c>
      <c r="J20" s="16" t="n">
        <v>995201</v>
      </c>
      <c r="K20" s="16" t="n">
        <v>459382</v>
      </c>
      <c r="L20" s="16" t="n">
        <v>535819</v>
      </c>
      <c r="M20" s="3" t="n">
        <v>0.0223063973063973</v>
      </c>
      <c r="N20" s="4" t="n">
        <f aca="false">M20*100000</f>
        <v>2230.63973063973</v>
      </c>
      <c r="O20" s="2" t="n">
        <v>325</v>
      </c>
      <c r="P20" s="2" t="n">
        <v>244</v>
      </c>
      <c r="Q20" s="6" t="n">
        <v>569</v>
      </c>
      <c r="R20" s="6" t="n">
        <v>20.5</v>
      </c>
      <c r="S20" s="17" t="n">
        <v>562</v>
      </c>
      <c r="T20" s="18" t="n">
        <f aca="false">(S20/J20)*100000</f>
        <v>56.471004349875</v>
      </c>
      <c r="U20" s="19" t="n">
        <v>1425</v>
      </c>
      <c r="V20" s="19" t="n">
        <v>241</v>
      </c>
      <c r="W20" s="19" t="n">
        <v>133</v>
      </c>
      <c r="X20" s="19" t="n">
        <v>6477</v>
      </c>
      <c r="Y20" s="19" t="n">
        <v>6911</v>
      </c>
      <c r="Z20" s="20" t="n">
        <f aca="false">(Y20/G20)*100000</f>
        <v>249.048814432507</v>
      </c>
      <c r="AA20" s="2" t="n">
        <v>1175</v>
      </c>
      <c r="AB20" s="6" t="n">
        <v>364</v>
      </c>
      <c r="AC20" s="4" t="n">
        <f aca="false">(AB20/G20)*100000</f>
        <v>13.1173156494621</v>
      </c>
      <c r="AD20" s="6" t="n">
        <v>6355</v>
      </c>
      <c r="AE20" s="4" t="n">
        <f aca="false">(AD20/G20)*100000</f>
        <v>229.012475143768</v>
      </c>
      <c r="AF20" s="6" t="n">
        <v>1732</v>
      </c>
      <c r="AG20" s="6" t="n">
        <v>372</v>
      </c>
      <c r="AH20" s="6" t="n">
        <v>406</v>
      </c>
      <c r="AI20" s="4" t="n">
        <f aca="false">(AH20/G20)*100000</f>
        <v>14.6308520705539</v>
      </c>
      <c r="AJ20" s="5" t="n">
        <f aca="false">Y20/J20</f>
        <v>0.0069443258196083</v>
      </c>
      <c r="AK20" s="2" t="n">
        <f aca="false">(Q20/Y20)*100000</f>
        <v>8233.25133844596</v>
      </c>
      <c r="AL20" s="2" t="n">
        <v>6165</v>
      </c>
      <c r="AM20" s="4" t="n">
        <f aca="false">(AL20/G20)*100000</f>
        <v>222.1655246674</v>
      </c>
      <c r="AN20" s="4" t="n">
        <f aca="false">1105.08-AM20</f>
        <v>882.9144753326</v>
      </c>
      <c r="AO20" s="6" t="n">
        <v>0.963</v>
      </c>
      <c r="AP20" s="6" t="n">
        <v>0.096</v>
      </c>
      <c r="AQ20" s="4" t="n">
        <f aca="false">J20/G20</f>
        <v>0.358636419001657</v>
      </c>
    </row>
    <row r="21" customFormat="false" ht="15" hidden="false" customHeight="false" outlineLevel="0" collapsed="false">
      <c r="A21" s="14" t="n">
        <v>8001</v>
      </c>
      <c r="B21" s="15" t="n">
        <v>8</v>
      </c>
      <c r="C21" s="15" t="s">
        <v>54</v>
      </c>
      <c r="D21" s="14" t="s">
        <v>55</v>
      </c>
      <c r="E21" s="14" t="s">
        <v>48</v>
      </c>
      <c r="F21" s="16" t="n">
        <v>1323551</v>
      </c>
      <c r="G21" s="16" t="n">
        <v>2803565</v>
      </c>
      <c r="H21" s="16" t="n">
        <v>1368515</v>
      </c>
      <c r="I21" s="16" t="n">
        <v>1435050</v>
      </c>
      <c r="J21" s="16" t="n">
        <v>1020419</v>
      </c>
      <c r="K21" s="16" t="n">
        <v>471225</v>
      </c>
      <c r="L21" s="16" t="n">
        <v>549194</v>
      </c>
      <c r="M21" s="3" t="n">
        <v>0.0348982135438305</v>
      </c>
      <c r="N21" s="4" t="n">
        <f aca="false">M21*100000</f>
        <v>3489.82135438305</v>
      </c>
      <c r="O21" s="2" t="n">
        <v>368</v>
      </c>
      <c r="P21" s="2" t="n">
        <v>274</v>
      </c>
      <c r="Q21" s="6" t="n">
        <v>642</v>
      </c>
      <c r="R21" s="6" t="n">
        <v>22.9</v>
      </c>
      <c r="S21" s="17" t="n">
        <v>636</v>
      </c>
      <c r="T21" s="18" t="n">
        <f aca="false">(S21/J21)*100000</f>
        <v>62.3273380836696</v>
      </c>
      <c r="U21" s="19" t="n">
        <v>700</v>
      </c>
      <c r="V21" s="19" t="n">
        <v>218</v>
      </c>
      <c r="W21" s="19" t="n">
        <v>362</v>
      </c>
      <c r="X21" s="19" t="n">
        <v>6270</v>
      </c>
      <c r="Y21" s="19" t="n">
        <v>6595</v>
      </c>
      <c r="Z21" s="20" t="n">
        <f aca="false">(Y21/G21)*100000</f>
        <v>235.236208184936</v>
      </c>
      <c r="AA21" s="2" t="n">
        <v>1209</v>
      </c>
      <c r="AB21" s="6" t="n">
        <v>289</v>
      </c>
      <c r="AC21" s="4" t="n">
        <f aca="false">(AB21/G21)*100000</f>
        <v>10.3083038916522</v>
      </c>
      <c r="AD21" s="6" t="n">
        <v>6142</v>
      </c>
      <c r="AE21" s="4" t="n">
        <f aca="false">(AD21/G21)*100000</f>
        <v>219.078209351308</v>
      </c>
      <c r="AF21" s="6" t="n">
        <v>1187</v>
      </c>
      <c r="AG21" s="6" t="n">
        <v>401</v>
      </c>
      <c r="AH21" s="6" t="n">
        <v>407</v>
      </c>
      <c r="AI21" s="4" t="n">
        <f aca="false">(AH21/G21)*100000</f>
        <v>14.5172307401469</v>
      </c>
      <c r="AJ21" s="5" t="n">
        <f aca="false">Y21/J21</f>
        <v>0.00646303136260693</v>
      </c>
      <c r="AK21" s="2" t="n">
        <f aca="false">(Q21/Y21)*100000</f>
        <v>9734.64746019712</v>
      </c>
      <c r="AL21" s="2" t="n">
        <v>5725</v>
      </c>
      <c r="AM21" s="4" t="n">
        <f aca="false">(AL21/G21)*100000</f>
        <v>204.204289895187</v>
      </c>
      <c r="AN21" s="4" t="n">
        <f aca="false">1105.08-AM21</f>
        <v>900.875710104813</v>
      </c>
      <c r="AO21" s="6" t="n">
        <v>0.966</v>
      </c>
      <c r="AP21" s="6" t="n">
        <v>0.099</v>
      </c>
      <c r="AQ21" s="4" t="n">
        <f aca="false">J21/G21</f>
        <v>0.363971942865601</v>
      </c>
    </row>
    <row r="22" customFormat="false" ht="15" hidden="false" customHeight="false" outlineLevel="0" collapsed="false">
      <c r="A22" s="14" t="n">
        <v>11001</v>
      </c>
      <c r="B22" s="15" t="n">
        <v>11</v>
      </c>
      <c r="C22" s="15" t="s">
        <v>56</v>
      </c>
      <c r="D22" s="14" t="s">
        <v>57</v>
      </c>
      <c r="E22" s="14" t="s">
        <v>45</v>
      </c>
      <c r="F22" s="16" t="n">
        <v>7732161</v>
      </c>
      <c r="G22" s="16" t="n">
        <v>7732161</v>
      </c>
      <c r="H22" s="16" t="n">
        <v>3703072</v>
      </c>
      <c r="I22" s="16" t="n">
        <v>4029089</v>
      </c>
      <c r="J22" s="16" t="n">
        <v>2971107</v>
      </c>
      <c r="K22" s="16" t="n">
        <v>1319020</v>
      </c>
      <c r="L22" s="16" t="n">
        <v>1652087</v>
      </c>
      <c r="M22" s="3" t="n">
        <v>0.0886150234741784</v>
      </c>
      <c r="N22" s="4" t="n">
        <f aca="false">M22*100000</f>
        <v>8861.50234741784</v>
      </c>
      <c r="O22" s="2" t="n">
        <v>922</v>
      </c>
      <c r="P22" s="2" t="n">
        <v>997</v>
      </c>
      <c r="Q22" s="6" t="n">
        <v>1919</v>
      </c>
      <c r="R22" s="6" t="n">
        <v>24.82</v>
      </c>
      <c r="S22" s="17" t="n">
        <v>1908</v>
      </c>
      <c r="T22" s="18" t="n">
        <f aca="false">(S22/J22)*100000</f>
        <v>64.2184882604363</v>
      </c>
      <c r="U22" s="19" t="n">
        <v>12166</v>
      </c>
      <c r="V22" s="19" t="n">
        <v>1950</v>
      </c>
      <c r="W22" s="19" t="n">
        <v>935</v>
      </c>
      <c r="X22" s="19" t="n">
        <v>49328</v>
      </c>
      <c r="Y22" s="19" t="n">
        <v>55189</v>
      </c>
      <c r="Z22" s="20" t="n">
        <f aca="false">(Y22/G22)*100000</f>
        <v>713.759064251249</v>
      </c>
      <c r="AA22" s="2" t="n">
        <v>18499</v>
      </c>
      <c r="AB22" s="6" t="n">
        <v>2584</v>
      </c>
      <c r="AC22" s="4" t="n">
        <f aca="false">(AB22/G22)*100000</f>
        <v>33.4188592296513</v>
      </c>
      <c r="AD22" s="6" t="n">
        <v>48529</v>
      </c>
      <c r="AE22" s="4" t="n">
        <f aca="false">(AD22/G22)*100000</f>
        <v>627.625317165538</v>
      </c>
      <c r="AF22" s="6" t="n">
        <v>14543</v>
      </c>
      <c r="AG22" s="6" t="n">
        <v>2360</v>
      </c>
      <c r="AH22" s="6" t="n">
        <v>3263</v>
      </c>
      <c r="AI22" s="4" t="n">
        <f aca="false">(AH22/G22)*100000</f>
        <v>42.2003628739753</v>
      </c>
      <c r="AJ22" s="5" t="n">
        <f aca="false">Y22/J22</f>
        <v>0.0185752313868198</v>
      </c>
      <c r="AK22" s="2" t="n">
        <f aca="false">(Q22/Y22)*100000</f>
        <v>3477.1421841309</v>
      </c>
      <c r="AL22" s="2" t="n">
        <v>33444</v>
      </c>
      <c r="AM22" s="4" t="n">
        <f aca="false">(AL22/G22)*100000</f>
        <v>432.531086716896</v>
      </c>
      <c r="AN22" s="4" t="n">
        <f aca="false">1105.08-AM22</f>
        <v>672.548913283104</v>
      </c>
      <c r="AO22" s="6" t="n">
        <v>0.95</v>
      </c>
      <c r="AP22" s="6" t="n">
        <v>0.145</v>
      </c>
      <c r="AQ22" s="4" t="n">
        <f aca="false">J22/G22</f>
        <v>0.384253121475355</v>
      </c>
    </row>
    <row r="23" customFormat="false" ht="15" hidden="false" customHeight="false" outlineLevel="0" collapsed="false">
      <c r="A23" s="14" t="n">
        <v>11001</v>
      </c>
      <c r="B23" s="15" t="n">
        <v>11</v>
      </c>
      <c r="C23" s="15" t="s">
        <v>56</v>
      </c>
      <c r="D23" s="14" t="s">
        <v>57</v>
      </c>
      <c r="E23" s="14" t="s">
        <v>46</v>
      </c>
      <c r="F23" s="16" t="n">
        <v>7823334</v>
      </c>
      <c r="G23" s="16" t="n">
        <v>7823334</v>
      </c>
      <c r="H23" s="16" t="n">
        <v>3746794</v>
      </c>
      <c r="I23" s="16" t="n">
        <v>4076540</v>
      </c>
      <c r="J23" s="16" t="n">
        <v>3046497</v>
      </c>
      <c r="K23" s="16" t="n">
        <v>1351450</v>
      </c>
      <c r="L23" s="16" t="n">
        <v>1695047</v>
      </c>
      <c r="M23" s="3" t="n">
        <v>0.0787913835477808</v>
      </c>
      <c r="N23" s="4" t="n">
        <f aca="false">M23*100000</f>
        <v>7879.13835477808</v>
      </c>
      <c r="O23" s="2" t="n">
        <v>817</v>
      </c>
      <c r="P23" s="2" t="n">
        <v>853</v>
      </c>
      <c r="Q23" s="6" t="n">
        <v>1670</v>
      </c>
      <c r="R23" s="6" t="n">
        <v>21.35</v>
      </c>
      <c r="S23" s="17" t="n">
        <v>1656</v>
      </c>
      <c r="T23" s="18" t="n">
        <f aca="false">(S23/J23)*100000</f>
        <v>54.3575129074475</v>
      </c>
      <c r="U23" s="19" t="n">
        <v>12837</v>
      </c>
      <c r="V23" s="19" t="n">
        <v>1154</v>
      </c>
      <c r="W23" s="19" t="n">
        <v>324</v>
      </c>
      <c r="X23" s="19" t="n">
        <v>46888</v>
      </c>
      <c r="Y23" s="19" t="n">
        <v>52541</v>
      </c>
      <c r="Z23" s="20" t="n">
        <f aca="false">(Y23/G23)*100000</f>
        <v>671.593466417259</v>
      </c>
      <c r="AA23" s="2" t="n">
        <v>16546</v>
      </c>
      <c r="AB23" s="6" t="n">
        <v>3102</v>
      </c>
      <c r="AC23" s="4" t="n">
        <f aca="false">(AB23/G23)*100000</f>
        <v>39.6506144311364</v>
      </c>
      <c r="AD23" s="6" t="n">
        <v>46318</v>
      </c>
      <c r="AE23" s="4" t="n">
        <f aca="false">(AD23/G23)*100000</f>
        <v>592.049374346027</v>
      </c>
      <c r="AF23" s="6" t="n">
        <v>14040</v>
      </c>
      <c r="AG23" s="6" t="n">
        <v>1470</v>
      </c>
      <c r="AH23" s="6" t="n">
        <v>2536</v>
      </c>
      <c r="AI23" s="4" t="n">
        <f aca="false">(AH23/G23)*100000</f>
        <v>32.4158472589819</v>
      </c>
      <c r="AJ23" s="5" t="n">
        <f aca="false">Y23/J23</f>
        <v>0.0172463652516316</v>
      </c>
      <c r="AK23" s="2" t="n">
        <f aca="false">(Q23/Y23)*100000</f>
        <v>3178.4701471232</v>
      </c>
      <c r="AL23" s="2" t="n">
        <v>56398</v>
      </c>
      <c r="AM23" s="4" t="n">
        <f aca="false">(AL23/G23)*100000</f>
        <v>720.894697835987</v>
      </c>
      <c r="AN23" s="4" t="n">
        <f aca="false">1105.08-AM23</f>
        <v>384.185302164013</v>
      </c>
      <c r="AO23" s="6" t="n">
        <v>0.849</v>
      </c>
      <c r="AP23" s="6" t="n">
        <v>0.115</v>
      </c>
      <c r="AQ23" s="4" t="n">
        <f aca="false">J23/G23</f>
        <v>0.389411598686698</v>
      </c>
    </row>
    <row r="24" customFormat="false" ht="15" hidden="false" customHeight="false" outlineLevel="0" collapsed="false">
      <c r="A24" s="14" t="n">
        <v>11001</v>
      </c>
      <c r="B24" s="15" t="n">
        <v>11</v>
      </c>
      <c r="C24" s="15" t="s">
        <v>56</v>
      </c>
      <c r="D24" s="14" t="s">
        <v>57</v>
      </c>
      <c r="E24" s="14" t="s">
        <v>47</v>
      </c>
      <c r="F24" s="16" t="n">
        <v>7873316</v>
      </c>
      <c r="G24" s="16" t="n">
        <v>7873316</v>
      </c>
      <c r="H24" s="16" t="n">
        <v>3770222</v>
      </c>
      <c r="I24" s="16" t="n">
        <v>4103094</v>
      </c>
      <c r="J24" s="16" t="n">
        <v>3107449</v>
      </c>
      <c r="K24" s="16" t="n">
        <v>1377038</v>
      </c>
      <c r="L24" s="16" t="n">
        <v>1730411</v>
      </c>
      <c r="M24" s="3" t="n">
        <v>0.0881297545571982</v>
      </c>
      <c r="N24" s="4" t="n">
        <f aca="false">M24*100000</f>
        <v>8812.97545571982</v>
      </c>
      <c r="O24" s="2" t="n">
        <v>976</v>
      </c>
      <c r="P24" s="2" t="n">
        <v>1130</v>
      </c>
      <c r="Q24" s="6" t="n">
        <v>2106</v>
      </c>
      <c r="R24" s="6" t="n">
        <v>26.75</v>
      </c>
      <c r="S24" s="17" t="n">
        <v>2090</v>
      </c>
      <c r="T24" s="18" t="n">
        <f aca="false">(S24/J24)*100000</f>
        <v>67.2577409959102</v>
      </c>
      <c r="U24" s="19" t="n">
        <v>11249</v>
      </c>
      <c r="V24" s="19" t="n">
        <v>2932</v>
      </c>
      <c r="W24" s="19" t="n">
        <v>906</v>
      </c>
      <c r="X24" s="19" t="n">
        <v>48505</v>
      </c>
      <c r="Y24" s="19" t="n">
        <v>52917</v>
      </c>
      <c r="Z24" s="20" t="n">
        <f aca="false">(Y24/G24)*100000</f>
        <v>672.10562868301</v>
      </c>
      <c r="AA24" s="2" t="n">
        <v>16751</v>
      </c>
      <c r="AB24" s="6" t="n">
        <v>2681</v>
      </c>
      <c r="AC24" s="4" t="n">
        <f aca="false">(AB24/G24)*100000</f>
        <v>34.0517261087958</v>
      </c>
      <c r="AD24" s="6" t="n">
        <v>47604</v>
      </c>
      <c r="AE24" s="4" t="n">
        <f aca="false">(AD24/G24)*100000</f>
        <v>604.62453177289</v>
      </c>
      <c r="AF24" s="6" t="n">
        <v>14353</v>
      </c>
      <c r="AG24" s="6" t="n">
        <v>2643</v>
      </c>
      <c r="AH24" s="6" t="n">
        <v>4117</v>
      </c>
      <c r="AI24" s="4" t="n">
        <f aca="false">(AH24/G24)*100000</f>
        <v>52.2905469563269</v>
      </c>
      <c r="AJ24" s="5" t="n">
        <f aca="false">Y24/J24</f>
        <v>0.0170290807668927</v>
      </c>
      <c r="AK24" s="2" t="n">
        <f aca="false">(Q24/Y24)*100000</f>
        <v>3979.81744996882</v>
      </c>
      <c r="AL24" s="2" t="n">
        <v>52469</v>
      </c>
      <c r="AM24" s="4" t="n">
        <f aca="false">(AL24/G24)*100000</f>
        <v>666.415523014699</v>
      </c>
      <c r="AN24" s="4" t="n">
        <f aca="false">1105.08-AM24</f>
        <v>438.664476985301</v>
      </c>
      <c r="AO24" s="6" t="n">
        <v>0.841</v>
      </c>
      <c r="AP24" s="6" t="n">
        <v>0.105</v>
      </c>
      <c r="AQ24" s="4" t="n">
        <f aca="false">J24/G24</f>
        <v>0.394681097519774</v>
      </c>
    </row>
    <row r="25" customFormat="false" ht="15" hidden="false" customHeight="false" outlineLevel="0" collapsed="false">
      <c r="A25" s="14" t="n">
        <v>11001</v>
      </c>
      <c r="B25" s="15" t="n">
        <v>11</v>
      </c>
      <c r="C25" s="15" t="s">
        <v>56</v>
      </c>
      <c r="D25" s="14" t="s">
        <v>57</v>
      </c>
      <c r="E25" s="14" t="s">
        <v>48</v>
      </c>
      <c r="F25" s="16" t="n">
        <v>7907281</v>
      </c>
      <c r="G25" s="16" t="n">
        <v>7907281</v>
      </c>
      <c r="H25" s="16" t="n">
        <v>3786692</v>
      </c>
      <c r="I25" s="16" t="n">
        <v>4120589</v>
      </c>
      <c r="J25" s="16" t="n">
        <v>3167294</v>
      </c>
      <c r="K25" s="16" t="n">
        <v>1403203</v>
      </c>
      <c r="L25" s="16" t="n">
        <v>1764091</v>
      </c>
      <c r="M25" s="3" t="n">
        <v>0.130810657596372</v>
      </c>
      <c r="N25" s="4" t="n">
        <f aca="false">M25*100000</f>
        <v>13081.0657596372</v>
      </c>
      <c r="O25" s="2" t="n">
        <v>972</v>
      </c>
      <c r="P25" s="2" t="n">
        <v>1144</v>
      </c>
      <c r="Q25" s="6" t="n">
        <v>2116</v>
      </c>
      <c r="R25" s="6" t="n">
        <v>26.76</v>
      </c>
      <c r="S25" s="17" t="n">
        <v>2105</v>
      </c>
      <c r="T25" s="18" t="n">
        <f aca="false">(S25/J25)*100000</f>
        <v>66.460518032112</v>
      </c>
      <c r="U25" s="19" t="n">
        <v>17632</v>
      </c>
      <c r="V25" s="19" t="n">
        <v>3964</v>
      </c>
      <c r="W25" s="19" t="n">
        <v>1532</v>
      </c>
      <c r="X25" s="19" t="n">
        <v>48881</v>
      </c>
      <c r="Y25" s="19" t="n">
        <v>57411</v>
      </c>
      <c r="Z25" s="20" t="n">
        <f aca="false">(Y25/G25)*100000</f>
        <v>726.052356050076</v>
      </c>
      <c r="AA25" s="2" t="n">
        <v>17220</v>
      </c>
      <c r="AB25" s="6" t="n">
        <v>4392</v>
      </c>
      <c r="AC25" s="4" t="n">
        <f aca="false">(AB25/G25)*100000</f>
        <v>55.543745062304</v>
      </c>
      <c r="AD25" s="6" t="n">
        <v>48161</v>
      </c>
      <c r="AE25" s="4" t="n">
        <f aca="false">(AD25/G25)*100000</f>
        <v>609.071563284522</v>
      </c>
      <c r="AF25" s="6" t="n">
        <v>21805</v>
      </c>
      <c r="AG25" s="6" t="n">
        <v>2888</v>
      </c>
      <c r="AH25" s="6" t="n">
        <v>4130</v>
      </c>
      <c r="AI25" s="4" t="n">
        <f aca="false">(AH25/G25)*100000</f>
        <v>52.2303431482959</v>
      </c>
      <c r="AJ25" s="5" t="n">
        <f aca="false">Y25/J25</f>
        <v>0.0181261985783448</v>
      </c>
      <c r="AK25" s="2" t="n">
        <f aca="false">(Q25/Y25)*100000</f>
        <v>3685.70483008483</v>
      </c>
      <c r="AL25" s="2" t="n">
        <v>51594</v>
      </c>
      <c r="AM25" s="4" t="n">
        <f aca="false">(AL25/G25)*100000</f>
        <v>652.487245615781</v>
      </c>
      <c r="AN25" s="4" t="n">
        <f aca="false">1105.08-AM25</f>
        <v>452.592754384219</v>
      </c>
      <c r="AO25" s="6" t="n">
        <v>0.88</v>
      </c>
      <c r="AP25" s="6" t="n">
        <v>0.074</v>
      </c>
      <c r="AQ25" s="4" t="n">
        <f aca="false">J25/G25</f>
        <v>0.400554122207115</v>
      </c>
    </row>
    <row r="26" customFormat="false" ht="15" hidden="false" customHeight="false" outlineLevel="0" collapsed="false">
      <c r="A26" s="14" t="n">
        <v>13001</v>
      </c>
      <c r="B26" s="15" t="n">
        <v>13</v>
      </c>
      <c r="C26" s="15" t="s">
        <v>58</v>
      </c>
      <c r="D26" s="14" t="s">
        <v>59</v>
      </c>
      <c r="E26" s="14" t="s">
        <v>45</v>
      </c>
      <c r="F26" s="16" t="n">
        <v>1017616</v>
      </c>
      <c r="G26" s="16" t="n">
        <v>2169294</v>
      </c>
      <c r="H26" s="16" t="n">
        <v>1076788</v>
      </c>
      <c r="I26" s="16" t="n">
        <v>1092506</v>
      </c>
      <c r="J26" s="16" t="n">
        <v>726996</v>
      </c>
      <c r="K26" s="16" t="n">
        <v>348288</v>
      </c>
      <c r="L26" s="16" t="n">
        <v>378708</v>
      </c>
      <c r="M26" s="3" t="n">
        <v>0.0300166759310728</v>
      </c>
      <c r="N26" s="4" t="n">
        <f aca="false">M26*100000</f>
        <v>3001.66759310728</v>
      </c>
      <c r="O26" s="2" t="n">
        <v>226</v>
      </c>
      <c r="P26" s="2" t="n">
        <v>157</v>
      </c>
      <c r="Q26" s="6" t="n">
        <v>383</v>
      </c>
      <c r="R26" s="6" t="n">
        <v>17.66</v>
      </c>
      <c r="S26" s="17" t="n">
        <v>380</v>
      </c>
      <c r="T26" s="18" t="n">
        <f aca="false">(S26/J26)*100000</f>
        <v>52.2698886926476</v>
      </c>
      <c r="U26" s="19" t="n">
        <v>1051</v>
      </c>
      <c r="V26" s="19" t="n">
        <v>210</v>
      </c>
      <c r="W26" s="19" t="n">
        <v>210</v>
      </c>
      <c r="X26" s="19" t="n">
        <v>4521</v>
      </c>
      <c r="Y26" s="19" t="n">
        <v>5096</v>
      </c>
      <c r="Z26" s="20" t="n">
        <f aca="false">(Y26/G26)*100000</f>
        <v>234.915138289231</v>
      </c>
      <c r="AA26" s="2" t="n">
        <v>1257</v>
      </c>
      <c r="AB26" s="6" t="n">
        <v>206</v>
      </c>
      <c r="AC26" s="4" t="n">
        <f aca="false">(AB26/G26)*100000</f>
        <v>9.49617709724915</v>
      </c>
      <c r="AD26" s="6" t="n">
        <v>4439</v>
      </c>
      <c r="AE26" s="4" t="n">
        <f aca="false">(AD26/G26)*100000</f>
        <v>204.628787061597</v>
      </c>
      <c r="AF26" s="6" t="n">
        <v>1384</v>
      </c>
      <c r="AG26" s="6" t="n">
        <v>243</v>
      </c>
      <c r="AH26" s="6" t="n">
        <v>242</v>
      </c>
      <c r="AI26" s="4" t="n">
        <f aca="false">(AH26/G26)*100000</f>
        <v>11.1557031919141</v>
      </c>
      <c r="AJ26" s="5" t="n">
        <f aca="false">Y26/J26</f>
        <v>0.00700966717836137</v>
      </c>
      <c r="AK26" s="2" t="n">
        <f aca="false">(Q26/Y26)*100000</f>
        <v>7515.69858712716</v>
      </c>
      <c r="AL26" s="2" t="n">
        <v>1933</v>
      </c>
      <c r="AM26" s="4" t="n">
        <f aca="false">(AL26/G26)*100000</f>
        <v>89.1073316940903</v>
      </c>
      <c r="AN26" s="4" t="n">
        <f aca="false">1105.08-AM26</f>
        <v>1015.97266830591</v>
      </c>
      <c r="AO26" s="6" t="n">
        <v>0.916</v>
      </c>
      <c r="AP26" s="6" t="n">
        <v>0.261</v>
      </c>
      <c r="AQ26" s="4" t="n">
        <f aca="false">J26/G26</f>
        <v>0.335130231310279</v>
      </c>
    </row>
    <row r="27" customFormat="false" ht="15" hidden="false" customHeight="false" outlineLevel="0" collapsed="false">
      <c r="A27" s="14" t="n">
        <v>13001</v>
      </c>
      <c r="B27" s="15" t="n">
        <v>13</v>
      </c>
      <c r="C27" s="15" t="s">
        <v>58</v>
      </c>
      <c r="D27" s="14" t="s">
        <v>59</v>
      </c>
      <c r="E27" s="14" t="s">
        <v>46</v>
      </c>
      <c r="F27" s="16" t="n">
        <v>1032133</v>
      </c>
      <c r="G27" s="16" t="n">
        <v>2202773</v>
      </c>
      <c r="H27" s="16" t="n">
        <v>1093153</v>
      </c>
      <c r="I27" s="16" t="n">
        <v>1109620</v>
      </c>
      <c r="J27" s="16" t="n">
        <v>745807</v>
      </c>
      <c r="K27" s="16" t="n">
        <v>356886</v>
      </c>
      <c r="L27" s="16" t="n">
        <v>388921</v>
      </c>
      <c r="M27" s="3" t="n">
        <v>0.0261723009814613</v>
      </c>
      <c r="N27" s="4" t="n">
        <f aca="false">M27*100000</f>
        <v>2617.23009814613</v>
      </c>
      <c r="O27" s="2" t="n">
        <v>256</v>
      </c>
      <c r="P27" s="2" t="n">
        <v>176</v>
      </c>
      <c r="Q27" s="6" t="n">
        <v>432</v>
      </c>
      <c r="R27" s="6" t="n">
        <v>19.61</v>
      </c>
      <c r="S27" s="17" t="n">
        <v>426</v>
      </c>
      <c r="T27" s="18" t="n">
        <f aca="false">(S27/J27)*100000</f>
        <v>57.1193351631186</v>
      </c>
      <c r="U27" s="19" t="n">
        <v>1352</v>
      </c>
      <c r="V27" s="19" t="n">
        <v>253</v>
      </c>
      <c r="W27" s="19" t="n">
        <v>112</v>
      </c>
      <c r="X27" s="19" t="n">
        <v>5111</v>
      </c>
      <c r="Y27" s="19" t="n">
        <v>5555</v>
      </c>
      <c r="Z27" s="20" t="n">
        <f aca="false">(Y27/G27)*100000</f>
        <v>252.182135880547</v>
      </c>
      <c r="AA27" s="2" t="n">
        <v>1754</v>
      </c>
      <c r="AB27" s="6" t="n">
        <v>348</v>
      </c>
      <c r="AC27" s="4" t="n">
        <f aca="false">(AB27/G27)*100000</f>
        <v>15.7982688184393</v>
      </c>
      <c r="AD27" s="6" t="n">
        <v>5043</v>
      </c>
      <c r="AE27" s="4" t="n">
        <f aca="false">(AD27/G27)*100000</f>
        <v>228.938705894797</v>
      </c>
      <c r="AF27" s="6" t="n">
        <v>1643</v>
      </c>
      <c r="AG27" s="6" t="n">
        <v>182</v>
      </c>
      <c r="AH27" s="6" t="n">
        <v>193</v>
      </c>
      <c r="AI27" s="4" t="n">
        <f aca="false">(AH27/G27)*100000</f>
        <v>8.76168356884709</v>
      </c>
      <c r="AJ27" s="5" t="n">
        <f aca="false">Y27/J27</f>
        <v>0.00744830767209211</v>
      </c>
      <c r="AK27" s="2" t="n">
        <f aca="false">(Q27/Y27)*100000</f>
        <v>7776.77767776778</v>
      </c>
      <c r="AL27" s="2" t="n">
        <v>3914</v>
      </c>
      <c r="AM27" s="4" t="n">
        <f aca="false">(AL27/G27)*100000</f>
        <v>177.685126883251</v>
      </c>
      <c r="AN27" s="4" t="n">
        <f aca="false">1105.08-AM27</f>
        <v>927.394873116749</v>
      </c>
      <c r="AO27" s="6" t="n">
        <v>0.851</v>
      </c>
      <c r="AP27" s="6" t="n">
        <v>0.231</v>
      </c>
      <c r="AQ27" s="4" t="n">
        <f aca="false">J27/G27</f>
        <v>0.338576421628556</v>
      </c>
    </row>
    <row r="28" customFormat="false" ht="15" hidden="false" customHeight="false" outlineLevel="0" collapsed="false">
      <c r="A28" s="14" t="n">
        <v>13001</v>
      </c>
      <c r="B28" s="15" t="n">
        <v>13</v>
      </c>
      <c r="C28" s="15" t="s">
        <v>58</v>
      </c>
      <c r="D28" s="14" t="s">
        <v>59</v>
      </c>
      <c r="E28" s="14" t="s">
        <v>47</v>
      </c>
      <c r="F28" s="16" t="n">
        <v>1043185</v>
      </c>
      <c r="G28" s="16" t="n">
        <v>2227184</v>
      </c>
      <c r="H28" s="16" t="n">
        <v>1105151</v>
      </c>
      <c r="I28" s="16" t="n">
        <v>1122033</v>
      </c>
      <c r="J28" s="16" t="n">
        <v>763280</v>
      </c>
      <c r="K28" s="16" t="n">
        <v>364976</v>
      </c>
      <c r="L28" s="16" t="n">
        <v>398304</v>
      </c>
      <c r="M28" s="3" t="n">
        <v>0.0345572354211663</v>
      </c>
      <c r="N28" s="4" t="n">
        <f aca="false">M28*100000</f>
        <v>3455.72354211663</v>
      </c>
      <c r="O28" s="2" t="n">
        <v>274</v>
      </c>
      <c r="P28" s="2" t="n">
        <v>210</v>
      </c>
      <c r="Q28" s="6" t="n">
        <v>484</v>
      </c>
      <c r="R28" s="6" t="n">
        <v>21.73</v>
      </c>
      <c r="S28" s="17" t="n">
        <v>474</v>
      </c>
      <c r="T28" s="18" t="n">
        <f aca="false">(S28/J28)*100000</f>
        <v>62.1004087621843</v>
      </c>
      <c r="U28" s="19" t="n">
        <v>2144</v>
      </c>
      <c r="V28" s="19" t="n">
        <v>546</v>
      </c>
      <c r="W28" s="19" t="n">
        <v>203</v>
      </c>
      <c r="X28" s="19" t="n">
        <v>5711</v>
      </c>
      <c r="Y28" s="19" t="n">
        <v>6566</v>
      </c>
      <c r="Z28" s="20" t="n">
        <f aca="false">(Y28/G28)*100000</f>
        <v>294.811744337244</v>
      </c>
      <c r="AA28" s="2" t="n">
        <v>1706</v>
      </c>
      <c r="AB28" s="6" t="n">
        <v>1002</v>
      </c>
      <c r="AC28" s="4" t="n">
        <f aca="false">(AB28/G28)*100000</f>
        <v>44.9895473387021</v>
      </c>
      <c r="AD28" s="6" t="n">
        <v>5612</v>
      </c>
      <c r="AE28" s="4" t="n">
        <f aca="false">(AD28/G28)*100000</f>
        <v>251.977384895006</v>
      </c>
      <c r="AF28" s="6" t="n">
        <v>2679</v>
      </c>
      <c r="AG28" s="6" t="n">
        <v>324</v>
      </c>
      <c r="AH28" s="6" t="n">
        <v>381</v>
      </c>
      <c r="AI28" s="4" t="n">
        <f aca="false">(AH28/G28)*100000</f>
        <v>17.1068039281891</v>
      </c>
      <c r="AJ28" s="5" t="n">
        <f aca="false">Y28/J28</f>
        <v>0.00860234776228907</v>
      </c>
      <c r="AK28" s="2" t="n">
        <f aca="false">(Q28/Y28)*100000</f>
        <v>7371.30673164788</v>
      </c>
      <c r="AL28" s="2" t="n">
        <v>3588</v>
      </c>
      <c r="AM28" s="4" t="n">
        <f aca="false">(AL28/G28)*100000</f>
        <v>161.100295260742</v>
      </c>
      <c r="AN28" s="4" t="n">
        <f aca="false">1105.08-AM28</f>
        <v>943.979704739258</v>
      </c>
      <c r="AO28" s="6" t="n">
        <v>0.888</v>
      </c>
      <c r="AP28" s="6" t="n">
        <v>0.196</v>
      </c>
      <c r="AQ28" s="4" t="n">
        <f aca="false">J28/G28</f>
        <v>0.342710795336173</v>
      </c>
    </row>
    <row r="29" customFormat="false" ht="15" hidden="false" customHeight="false" outlineLevel="0" collapsed="false">
      <c r="A29" s="14" t="n">
        <v>13001</v>
      </c>
      <c r="B29" s="15" t="n">
        <v>13</v>
      </c>
      <c r="C29" s="15" t="s">
        <v>58</v>
      </c>
      <c r="D29" s="14" t="s">
        <v>59</v>
      </c>
      <c r="E29" s="14" t="s">
        <v>48</v>
      </c>
      <c r="F29" s="16" t="n">
        <v>1052015</v>
      </c>
      <c r="G29" s="16" t="n">
        <v>2247283</v>
      </c>
      <c r="H29" s="16" t="n">
        <v>1115128</v>
      </c>
      <c r="I29" s="16" t="n">
        <v>1132155</v>
      </c>
      <c r="J29" s="16" t="n">
        <v>780865</v>
      </c>
      <c r="K29" s="16" t="n">
        <v>373247</v>
      </c>
      <c r="L29" s="16" t="n">
        <v>407618</v>
      </c>
      <c r="M29" s="3" t="n">
        <v>0.0368589743589744</v>
      </c>
      <c r="N29" s="4" t="n">
        <f aca="false">M29*100000</f>
        <v>3685.89743589744</v>
      </c>
      <c r="O29" s="2" t="n">
        <v>259</v>
      </c>
      <c r="P29" s="2" t="n">
        <v>216</v>
      </c>
      <c r="Q29" s="6" t="n">
        <v>475</v>
      </c>
      <c r="R29" s="6" t="n">
        <v>21.14</v>
      </c>
      <c r="S29" s="17" t="n">
        <v>467</v>
      </c>
      <c r="T29" s="18" t="n">
        <f aca="false">(S29/J29)*100000</f>
        <v>59.8054721366689</v>
      </c>
      <c r="U29" s="19" t="n">
        <v>2011</v>
      </c>
      <c r="V29" s="19" t="n">
        <v>543</v>
      </c>
      <c r="W29" s="19" t="n">
        <v>356</v>
      </c>
      <c r="X29" s="19" t="n">
        <v>4856</v>
      </c>
      <c r="Y29" s="19" t="n">
        <v>6088</v>
      </c>
      <c r="Z29" s="20" t="n">
        <f aca="false">(Y29/G29)*100000</f>
        <v>270.904910507488</v>
      </c>
      <c r="AA29" s="2" t="n">
        <v>759</v>
      </c>
      <c r="AB29" s="6" t="n">
        <v>878</v>
      </c>
      <c r="AC29" s="4" t="n">
        <f aca="false">(AB29/G29)*100000</f>
        <v>39.0694006940826</v>
      </c>
      <c r="AD29" s="6" t="n">
        <v>4760</v>
      </c>
      <c r="AE29" s="4" t="n">
        <f aca="false">(AD29/G29)*100000</f>
        <v>211.811329503227</v>
      </c>
      <c r="AF29" s="6" t="n">
        <v>2664</v>
      </c>
      <c r="AG29" s="6" t="n">
        <v>261</v>
      </c>
      <c r="AH29" s="6" t="n">
        <v>424</v>
      </c>
      <c r="AI29" s="4" t="n">
        <f aca="false">(AH29/G29)*100000</f>
        <v>18.8672276700353</v>
      </c>
      <c r="AJ29" s="5" t="n">
        <f aca="false">Y29/J29</f>
        <v>0.00779648210638203</v>
      </c>
      <c r="AK29" s="2" t="n">
        <f aca="false">(Q29/Y29)*100000</f>
        <v>7802.23390275953</v>
      </c>
      <c r="AL29" s="2" t="n">
        <v>3969</v>
      </c>
      <c r="AM29" s="4" t="n">
        <f aca="false">(AL29/G29)*100000</f>
        <v>176.613270335779</v>
      </c>
      <c r="AN29" s="4" t="n">
        <f aca="false">1105.08-AM29</f>
        <v>928.466729664221</v>
      </c>
      <c r="AO29" s="6" t="n">
        <v>0.897</v>
      </c>
      <c r="AP29" s="6" t="n">
        <v>0.172</v>
      </c>
      <c r="AQ29" s="4" t="n">
        <f aca="false">J29/G29</f>
        <v>0.347470701286843</v>
      </c>
    </row>
    <row r="30" customFormat="false" ht="15" hidden="false" customHeight="false" outlineLevel="0" collapsed="false">
      <c r="A30" s="14" t="n">
        <v>15001</v>
      </c>
      <c r="B30" s="15" t="n">
        <v>15</v>
      </c>
      <c r="C30" s="15" t="s">
        <v>60</v>
      </c>
      <c r="D30" s="14" t="s">
        <v>61</v>
      </c>
      <c r="E30" s="14" t="s">
        <v>45</v>
      </c>
      <c r="F30" s="16" t="n">
        <v>179205</v>
      </c>
      <c r="G30" s="16" t="n">
        <v>1257289</v>
      </c>
      <c r="H30" s="16" t="n">
        <v>619570</v>
      </c>
      <c r="I30" s="16" t="n">
        <v>637719</v>
      </c>
      <c r="J30" s="16" t="n">
        <v>511595</v>
      </c>
      <c r="K30" s="16" t="n">
        <v>241137</v>
      </c>
      <c r="L30" s="16" t="n">
        <v>270458</v>
      </c>
      <c r="M30" s="3" t="n">
        <v>0.0482041587901701</v>
      </c>
      <c r="N30" s="4" t="n">
        <f aca="false">M30*100000</f>
        <v>4820.41587901701</v>
      </c>
      <c r="O30" s="2" t="n">
        <v>299</v>
      </c>
      <c r="P30" s="2" t="n">
        <v>248</v>
      </c>
      <c r="Q30" s="6" t="n">
        <v>547</v>
      </c>
      <c r="R30" s="6" t="n">
        <v>43.51</v>
      </c>
      <c r="S30" s="17" t="n">
        <v>544</v>
      </c>
      <c r="T30" s="18" t="n">
        <f aca="false">(S30/J30)*100000</f>
        <v>106.334111944018</v>
      </c>
      <c r="U30" s="19" t="n">
        <v>1693</v>
      </c>
      <c r="V30" s="19" t="n">
        <v>290</v>
      </c>
      <c r="W30" s="19" t="n">
        <v>267</v>
      </c>
      <c r="X30" s="19" t="n">
        <v>9012</v>
      </c>
      <c r="Y30" s="19" t="n">
        <v>9637</v>
      </c>
      <c r="Z30" s="20" t="n">
        <f aca="false">(Y30/G30)*100000</f>
        <v>766.490440940786</v>
      </c>
      <c r="AA30" s="2" t="n">
        <v>4792</v>
      </c>
      <c r="AB30" s="6" t="n">
        <v>201</v>
      </c>
      <c r="AC30" s="4" t="n">
        <f aca="false">(AB30/G30)*100000</f>
        <v>15.9867779007054</v>
      </c>
      <c r="AD30" s="6" t="n">
        <v>8789</v>
      </c>
      <c r="AE30" s="4" t="n">
        <f aca="false">(AD30/G30)*100000</f>
        <v>699.043736165671</v>
      </c>
      <c r="AF30" s="6" t="n">
        <v>2108</v>
      </c>
      <c r="AG30" s="6" t="n">
        <v>666</v>
      </c>
      <c r="AH30" s="6" t="n">
        <v>901</v>
      </c>
      <c r="AI30" s="4" t="n">
        <f aca="false">(AH30/G30)*100000</f>
        <v>71.6621238235601</v>
      </c>
      <c r="AJ30" s="5" t="n">
        <f aca="false">Y30/J30</f>
        <v>0.0188371661177298</v>
      </c>
      <c r="AK30" s="2" t="n">
        <f aca="false">(Q30/Y30)*100000</f>
        <v>5676.04026149217</v>
      </c>
      <c r="AL30" s="2" t="n">
        <v>1929</v>
      </c>
      <c r="AM30" s="4" t="n">
        <f aca="false">(AL30/G30)*100000</f>
        <v>153.425346121695</v>
      </c>
      <c r="AN30" s="4" t="n">
        <f aca="false">1105.08-AM30</f>
        <v>951.654653878305</v>
      </c>
      <c r="AO30" s="6" t="n">
        <v>0.768</v>
      </c>
      <c r="AP30" s="6" t="n">
        <v>0.282</v>
      </c>
      <c r="AQ30" s="4" t="n">
        <f aca="false">J30/G30</f>
        <v>0.406903265677183</v>
      </c>
    </row>
    <row r="31" customFormat="false" ht="15" hidden="false" customHeight="false" outlineLevel="0" collapsed="false">
      <c r="A31" s="14" t="n">
        <v>15001</v>
      </c>
      <c r="B31" s="15" t="n">
        <v>15</v>
      </c>
      <c r="C31" s="15" t="s">
        <v>60</v>
      </c>
      <c r="D31" s="14" t="s">
        <v>61</v>
      </c>
      <c r="E31" s="14" t="s">
        <v>46</v>
      </c>
      <c r="F31" s="16" t="n">
        <v>181729</v>
      </c>
      <c r="G31" s="16" t="n">
        <v>1271639</v>
      </c>
      <c r="H31" s="16" t="n">
        <v>626709</v>
      </c>
      <c r="I31" s="16" t="n">
        <v>644930</v>
      </c>
      <c r="J31" s="16" t="n">
        <v>522552</v>
      </c>
      <c r="K31" s="16" t="n">
        <v>246227</v>
      </c>
      <c r="L31" s="16" t="n">
        <v>276325</v>
      </c>
      <c r="M31" s="3" t="n">
        <v>0.0469043151969981</v>
      </c>
      <c r="N31" s="4" t="n">
        <f aca="false">M31*100000</f>
        <v>4690.43151969981</v>
      </c>
      <c r="O31" s="2" t="n">
        <v>315</v>
      </c>
      <c r="P31" s="2" t="n">
        <v>265</v>
      </c>
      <c r="Q31" s="6" t="n">
        <v>580</v>
      </c>
      <c r="R31" s="6" t="n">
        <v>45.61</v>
      </c>
      <c r="S31" s="17" t="n">
        <v>577</v>
      </c>
      <c r="T31" s="18" t="n">
        <f aca="false">(S31/J31)*100000</f>
        <v>110.419632878642</v>
      </c>
      <c r="U31" s="19" t="n">
        <v>2350</v>
      </c>
      <c r="V31" s="19" t="n">
        <v>377</v>
      </c>
      <c r="W31" s="19" t="n">
        <v>208</v>
      </c>
      <c r="X31" s="19" t="n">
        <v>7529</v>
      </c>
      <c r="Y31" s="19" t="n">
        <v>9023</v>
      </c>
      <c r="Z31" s="20" t="n">
        <f aca="false">(Y31/G31)*100000</f>
        <v>709.556721679659</v>
      </c>
      <c r="AA31" s="2" t="n">
        <v>4084</v>
      </c>
      <c r="AB31" s="6" t="n">
        <v>353</v>
      </c>
      <c r="AC31" s="4" t="n">
        <f aca="false">(AB31/G31)*100000</f>
        <v>27.7594505987942</v>
      </c>
      <c r="AD31" s="6" t="n">
        <v>7394</v>
      </c>
      <c r="AE31" s="4" t="n">
        <f aca="false">(AD31/G31)*100000</f>
        <v>581.454327839898</v>
      </c>
      <c r="AF31" s="6" t="n">
        <v>2787</v>
      </c>
      <c r="AG31" s="6" t="n">
        <v>409</v>
      </c>
      <c r="AH31" s="6" t="n">
        <v>642</v>
      </c>
      <c r="AI31" s="4" t="n">
        <f aca="false">(AH31/G31)*100000</f>
        <v>50.4860263014897</v>
      </c>
      <c r="AJ31" s="5" t="n">
        <f aca="false">Y31/J31</f>
        <v>0.0172671810652337</v>
      </c>
      <c r="AK31" s="2" t="n">
        <f aca="false">(Q31/Y31)*100000</f>
        <v>6428.01728914995</v>
      </c>
      <c r="AL31" s="2" t="n">
        <v>2992</v>
      </c>
      <c r="AM31" s="4" t="n">
        <f aca="false">(AL31/G31)*100000</f>
        <v>235.286901392612</v>
      </c>
      <c r="AN31" s="4" t="n">
        <f aca="false">1105.08-AM31</f>
        <v>869.793098607388</v>
      </c>
      <c r="AO31" s="6" t="n">
        <v>0.96</v>
      </c>
      <c r="AP31" s="6" t="n">
        <v>0.186</v>
      </c>
      <c r="AQ31" s="4" t="n">
        <f aca="false">J31/G31</f>
        <v>0.410927944172835</v>
      </c>
    </row>
    <row r="32" customFormat="false" ht="15" hidden="false" customHeight="false" outlineLevel="0" collapsed="false">
      <c r="A32" s="14" t="n">
        <v>15001</v>
      </c>
      <c r="B32" s="15" t="n">
        <v>15</v>
      </c>
      <c r="C32" s="15" t="s">
        <v>60</v>
      </c>
      <c r="D32" s="14" t="s">
        <v>61</v>
      </c>
      <c r="E32" s="14" t="s">
        <v>47</v>
      </c>
      <c r="F32" s="16" t="n">
        <v>183582</v>
      </c>
      <c r="G32" s="16" t="n">
        <v>1285035</v>
      </c>
      <c r="H32" s="16" t="n">
        <v>633540</v>
      </c>
      <c r="I32" s="16" t="n">
        <v>651495</v>
      </c>
      <c r="J32" s="16" t="n">
        <v>533422</v>
      </c>
      <c r="K32" s="16" t="n">
        <v>251382</v>
      </c>
      <c r="L32" s="16" t="n">
        <v>282040</v>
      </c>
      <c r="M32" s="3" t="n">
        <v>0.0436397400185701</v>
      </c>
      <c r="N32" s="4" t="n">
        <f aca="false">M32*100000</f>
        <v>4363.97400185701</v>
      </c>
      <c r="O32" s="2" t="n">
        <v>389</v>
      </c>
      <c r="P32" s="2" t="n">
        <v>367</v>
      </c>
      <c r="Q32" s="6" t="n">
        <v>756</v>
      </c>
      <c r="R32" s="6" t="n">
        <v>58.83</v>
      </c>
      <c r="S32" s="17" t="n">
        <v>754</v>
      </c>
      <c r="T32" s="18" t="n">
        <f aca="false">(S32/J32)*100000</f>
        <v>141.351500313073</v>
      </c>
      <c r="U32" s="19" t="n">
        <v>2132</v>
      </c>
      <c r="V32" s="19" t="n">
        <v>728</v>
      </c>
      <c r="W32" s="19" t="n">
        <v>411</v>
      </c>
      <c r="X32" s="19" t="n">
        <v>10540</v>
      </c>
      <c r="Y32" s="19" t="n">
        <v>11391</v>
      </c>
      <c r="Z32" s="20" t="n">
        <f aca="false">(Y32/G32)*100000</f>
        <v>886.434999824907</v>
      </c>
      <c r="AA32" s="2" t="n">
        <v>5049</v>
      </c>
      <c r="AB32" s="6" t="n">
        <v>524</v>
      </c>
      <c r="AC32" s="4" t="n">
        <f aca="false">(AB32/G32)*100000</f>
        <v>40.777099456435</v>
      </c>
      <c r="AD32" s="6" t="n">
        <v>10296</v>
      </c>
      <c r="AE32" s="4" t="n">
        <f aca="false">(AD32/G32)*100000</f>
        <v>801.223312983693</v>
      </c>
      <c r="AF32" s="6" t="n">
        <v>2992</v>
      </c>
      <c r="AG32" s="6" t="n">
        <v>691</v>
      </c>
      <c r="AH32" s="6" t="n">
        <v>1403</v>
      </c>
      <c r="AI32" s="4" t="n">
        <f aca="false">(AH32/G32)*100000</f>
        <v>109.179905605684</v>
      </c>
      <c r="AJ32" s="5" t="n">
        <f aca="false">Y32/J32</f>
        <v>0.0213545748019392</v>
      </c>
      <c r="AK32" s="2" t="n">
        <f aca="false">(Q32/Y32)*100000</f>
        <v>6636.81854095338</v>
      </c>
      <c r="AL32" s="2" t="n">
        <v>3533</v>
      </c>
      <c r="AM32" s="4" t="n">
        <f aca="false">(AL32/G32)*100000</f>
        <v>274.934145762567</v>
      </c>
      <c r="AN32" s="4" t="n">
        <f aca="false">1105.08-AM32</f>
        <v>830.145854237433</v>
      </c>
      <c r="AO32" s="6" t="n">
        <v>0.953</v>
      </c>
      <c r="AP32" s="6" t="n">
        <v>0.183</v>
      </c>
      <c r="AQ32" s="4" t="n">
        <f aca="false">J32/G32</f>
        <v>0.415103090577299</v>
      </c>
    </row>
    <row r="33" customFormat="false" ht="15" hidden="false" customHeight="false" outlineLevel="0" collapsed="false">
      <c r="A33" s="14" t="n">
        <v>15001</v>
      </c>
      <c r="B33" s="15" t="n">
        <v>15</v>
      </c>
      <c r="C33" s="15" t="s">
        <v>60</v>
      </c>
      <c r="D33" s="14" t="s">
        <v>61</v>
      </c>
      <c r="E33" s="14" t="s">
        <v>48</v>
      </c>
      <c r="F33" s="16" t="n">
        <v>185469</v>
      </c>
      <c r="G33" s="16" t="n">
        <v>1298800</v>
      </c>
      <c r="H33" s="16" t="n">
        <v>640760</v>
      </c>
      <c r="I33" s="16" t="n">
        <v>658040</v>
      </c>
      <c r="J33" s="16" t="n">
        <v>545047</v>
      </c>
      <c r="K33" s="16" t="n">
        <v>257060</v>
      </c>
      <c r="L33" s="16" t="n">
        <v>287987</v>
      </c>
      <c r="M33" s="3" t="n">
        <v>0.0478380864765409</v>
      </c>
      <c r="N33" s="4" t="n">
        <f aca="false">M33*100000</f>
        <v>4783.80864765409</v>
      </c>
      <c r="O33" s="2" t="n">
        <v>339</v>
      </c>
      <c r="P33" s="2" t="n">
        <v>364</v>
      </c>
      <c r="Q33" s="6" t="n">
        <v>703</v>
      </c>
      <c r="R33" s="6" t="n">
        <v>54.13</v>
      </c>
      <c r="S33" s="17" t="n">
        <v>701</v>
      </c>
      <c r="T33" s="18" t="n">
        <f aca="false">(S33/J33)*100000</f>
        <v>128.612761835218</v>
      </c>
      <c r="U33" s="19" t="n">
        <v>1811</v>
      </c>
      <c r="V33" s="19" t="n">
        <v>471</v>
      </c>
      <c r="W33" s="19" t="n">
        <v>299</v>
      </c>
      <c r="X33" s="19" t="n">
        <v>9016</v>
      </c>
      <c r="Y33" s="19" t="n">
        <v>9918</v>
      </c>
      <c r="Z33" s="20" t="n">
        <f aca="false">(Y33/G33)*100000</f>
        <v>763.627964274715</v>
      </c>
      <c r="AA33" s="2" t="n">
        <v>4176</v>
      </c>
      <c r="AB33" s="6" t="n">
        <v>532</v>
      </c>
      <c r="AC33" s="4" t="n">
        <f aca="false">(AB33/G33)*100000</f>
        <v>40.9608869725901</v>
      </c>
      <c r="AD33" s="6" t="n">
        <v>8850</v>
      </c>
      <c r="AE33" s="4" t="n">
        <f aca="false">(AD33/G33)*100000</f>
        <v>681.398213735756</v>
      </c>
      <c r="AF33" s="6" t="n">
        <v>2388</v>
      </c>
      <c r="AG33" s="6" t="n">
        <v>594</v>
      </c>
      <c r="AH33" s="6" t="n">
        <v>1038</v>
      </c>
      <c r="AI33" s="4" t="n">
        <f aca="false">(AH33/G33)*100000</f>
        <v>79.9199260856175</v>
      </c>
      <c r="AJ33" s="5" t="n">
        <f aca="false">Y33/J33</f>
        <v>0.0181965958898957</v>
      </c>
      <c r="AK33" s="2" t="n">
        <f aca="false">(Q33/Y33)*100000</f>
        <v>7088.12260536399</v>
      </c>
      <c r="AL33" s="2" t="n">
        <v>3250</v>
      </c>
      <c r="AM33" s="4" t="n">
        <f aca="false">(AL33/G33)*100000</f>
        <v>250.230982445334</v>
      </c>
      <c r="AN33" s="4" t="n">
        <f aca="false">1105.08-AM33</f>
        <v>854.849017554666</v>
      </c>
      <c r="AO33" s="6" t="n">
        <v>0.97</v>
      </c>
      <c r="AP33" s="6" t="n">
        <v>0.158</v>
      </c>
      <c r="AQ33" s="4" t="n">
        <f aca="false">J33/G33</f>
        <v>0.419654296273483</v>
      </c>
    </row>
    <row r="34" customFormat="false" ht="15" hidden="false" customHeight="false" outlineLevel="0" collapsed="false">
      <c r="A34" s="14" t="n">
        <v>17001</v>
      </c>
      <c r="B34" s="15" t="n">
        <v>17</v>
      </c>
      <c r="C34" s="15" t="s">
        <v>62</v>
      </c>
      <c r="D34" s="14" t="s">
        <v>63</v>
      </c>
      <c r="E34" s="14" t="s">
        <v>45</v>
      </c>
      <c r="F34" s="16" t="n">
        <v>445669</v>
      </c>
      <c r="G34" s="16" t="n">
        <v>1021435</v>
      </c>
      <c r="H34" s="16" t="n">
        <v>494631</v>
      </c>
      <c r="I34" s="16" t="n">
        <v>526804</v>
      </c>
      <c r="J34" s="16" t="n">
        <v>450902</v>
      </c>
      <c r="K34" s="16" t="n">
        <v>208723</v>
      </c>
      <c r="L34" s="16" t="n">
        <v>242179</v>
      </c>
      <c r="M34" s="3" t="n">
        <v>0.108622620380739</v>
      </c>
      <c r="N34" s="4" t="n">
        <f aca="false">M34*100000</f>
        <v>10862.2620380739</v>
      </c>
      <c r="O34" s="2" t="n">
        <v>226</v>
      </c>
      <c r="P34" s="2" t="n">
        <v>174</v>
      </c>
      <c r="Q34" s="6" t="n">
        <v>400</v>
      </c>
      <c r="R34" s="6" t="n">
        <v>39.16</v>
      </c>
      <c r="S34" s="17" t="n">
        <v>399</v>
      </c>
      <c r="T34" s="18" t="n">
        <f aca="false">(S34/J34)*100000</f>
        <v>88.4892947913294</v>
      </c>
      <c r="U34" s="19" t="n">
        <v>2904</v>
      </c>
      <c r="V34" s="19" t="n">
        <v>162</v>
      </c>
      <c r="W34" s="19" t="n">
        <v>313</v>
      </c>
      <c r="X34" s="19" t="n">
        <v>9382</v>
      </c>
      <c r="Y34" s="19" t="n">
        <v>10525</v>
      </c>
      <c r="Z34" s="20" t="n">
        <f aca="false">(Y34/G34)*100000</f>
        <v>1030.4130953022</v>
      </c>
      <c r="AA34" s="2" t="n">
        <v>5309</v>
      </c>
      <c r="AB34" s="6" t="n">
        <v>801</v>
      </c>
      <c r="AC34" s="4" t="n">
        <f aca="false">(AB34/G34)*100000</f>
        <v>78.4190868728798</v>
      </c>
      <c r="AD34" s="6" t="n">
        <v>9200</v>
      </c>
      <c r="AE34" s="4" t="n">
        <f aca="false">(AD34/G34)*100000</f>
        <v>900.69363199812</v>
      </c>
      <c r="AF34" s="6" t="n">
        <v>3276</v>
      </c>
      <c r="AG34" s="6" t="n">
        <v>632</v>
      </c>
      <c r="AH34" s="6" t="n">
        <v>706</v>
      </c>
      <c r="AI34" s="4" t="n">
        <f aca="false">(AH34/G34)*100000</f>
        <v>69.1184461076818</v>
      </c>
      <c r="AJ34" s="5" t="n">
        <f aca="false">Y34/J34</f>
        <v>0.0233421009443294</v>
      </c>
      <c r="AK34" s="2" t="n">
        <f aca="false">(Q34/Y34)*100000</f>
        <v>3800.47505938242</v>
      </c>
      <c r="AL34" s="2" t="n">
        <v>3023</v>
      </c>
      <c r="AM34" s="4" t="n">
        <f aca="false">(AL34/G34)*100000</f>
        <v>295.956179296774</v>
      </c>
      <c r="AN34" s="4" t="n">
        <f aca="false">1105.08-AM34</f>
        <v>809.123820703226</v>
      </c>
      <c r="AO34" s="6" t="n">
        <v>0.877</v>
      </c>
      <c r="AP34" s="6" t="n">
        <v>0.272</v>
      </c>
      <c r="AQ34" s="4" t="n">
        <f aca="false">J34/G34</f>
        <v>0.441439739190453</v>
      </c>
    </row>
    <row r="35" customFormat="false" ht="15" hidden="false" customHeight="false" outlineLevel="0" collapsed="false">
      <c r="A35" s="14" t="n">
        <v>17001</v>
      </c>
      <c r="B35" s="15" t="n">
        <v>17</v>
      </c>
      <c r="C35" s="15" t="s">
        <v>62</v>
      </c>
      <c r="D35" s="14" t="s">
        <v>63</v>
      </c>
      <c r="E35" s="14" t="s">
        <v>46</v>
      </c>
      <c r="F35" s="16" t="n">
        <v>449434</v>
      </c>
      <c r="G35" s="16" t="n">
        <v>1028635</v>
      </c>
      <c r="H35" s="16" t="n">
        <v>497712</v>
      </c>
      <c r="I35" s="16" t="n">
        <v>530923</v>
      </c>
      <c r="J35" s="16" t="n">
        <v>458153</v>
      </c>
      <c r="K35" s="16" t="n">
        <v>211674</v>
      </c>
      <c r="L35" s="16" t="n">
        <v>246479</v>
      </c>
      <c r="M35" s="3" t="n">
        <v>0.0953436807095344</v>
      </c>
      <c r="N35" s="4" t="n">
        <f aca="false">M35*100000</f>
        <v>9534.36807095344</v>
      </c>
      <c r="O35" s="2" t="n">
        <v>218</v>
      </c>
      <c r="P35" s="2" t="n">
        <v>215</v>
      </c>
      <c r="Q35" s="6" t="n">
        <v>433</v>
      </c>
      <c r="R35" s="6" t="n">
        <v>42.09</v>
      </c>
      <c r="S35" s="17" t="n">
        <v>432</v>
      </c>
      <c r="T35" s="18" t="n">
        <f aca="false">(S35/J35)*100000</f>
        <v>94.2916449308419</v>
      </c>
      <c r="U35" s="19" t="n">
        <v>2049</v>
      </c>
      <c r="V35" s="19" t="n">
        <v>163</v>
      </c>
      <c r="W35" s="19" t="n">
        <v>275</v>
      </c>
      <c r="X35" s="19" t="n">
        <v>8754</v>
      </c>
      <c r="Y35" s="19" t="n">
        <v>9796</v>
      </c>
      <c r="Z35" s="20" t="n">
        <f aca="false">(Y35/G35)*100000</f>
        <v>952.330029602337</v>
      </c>
      <c r="AA35" s="2" t="n">
        <v>4777</v>
      </c>
      <c r="AB35" s="6" t="n">
        <v>242</v>
      </c>
      <c r="AC35" s="4" t="n">
        <f aca="false">(AB35/G35)*100000</f>
        <v>23.5263237202701</v>
      </c>
      <c r="AD35" s="6" t="n">
        <v>8568</v>
      </c>
      <c r="AE35" s="4" t="n">
        <f aca="false">(AD35/G35)*100000</f>
        <v>832.948519154024</v>
      </c>
      <c r="AF35" s="6" t="n">
        <v>2397</v>
      </c>
      <c r="AG35" s="6" t="n">
        <v>496</v>
      </c>
      <c r="AH35" s="6" t="n">
        <v>590</v>
      </c>
      <c r="AI35" s="4" t="n">
        <f aca="false">(AH35/G35)*100000</f>
        <v>57.3575660948733</v>
      </c>
      <c r="AJ35" s="5" t="n">
        <f aca="false">Y35/J35</f>
        <v>0.0213815035588548</v>
      </c>
      <c r="AK35" s="2" t="n">
        <f aca="false">(Q35/Y35)*100000</f>
        <v>4420.17149857085</v>
      </c>
      <c r="AL35" s="2" t="n">
        <v>3825</v>
      </c>
      <c r="AM35" s="4" t="n">
        <f aca="false">(AL35/G35)*100000</f>
        <v>371.852017479475</v>
      </c>
      <c r="AN35" s="4" t="n">
        <f aca="false">1105.08-AM35</f>
        <v>733.227982520525</v>
      </c>
      <c r="AO35" s="6" t="n">
        <v>0.907</v>
      </c>
      <c r="AP35" s="6" t="n">
        <v>0.253</v>
      </c>
      <c r="AQ35" s="4" t="n">
        <f aca="false">J35/G35</f>
        <v>0.445398999645161</v>
      </c>
    </row>
    <row r="36" customFormat="false" ht="15" hidden="false" customHeight="false" outlineLevel="0" collapsed="false">
      <c r="A36" s="14" t="n">
        <v>17001</v>
      </c>
      <c r="B36" s="15" t="n">
        <v>17</v>
      </c>
      <c r="C36" s="15" t="s">
        <v>62</v>
      </c>
      <c r="D36" s="14" t="s">
        <v>63</v>
      </c>
      <c r="E36" s="14" t="s">
        <v>47</v>
      </c>
      <c r="F36" s="16" t="n">
        <v>451812</v>
      </c>
      <c r="G36" s="16" t="n">
        <v>1034151</v>
      </c>
      <c r="H36" s="16" t="n">
        <v>499958</v>
      </c>
      <c r="I36" s="16" t="n">
        <v>534193</v>
      </c>
      <c r="J36" s="16" t="n">
        <v>464693</v>
      </c>
      <c r="K36" s="16" t="n">
        <v>214334</v>
      </c>
      <c r="L36" s="16" t="n">
        <v>250359</v>
      </c>
      <c r="M36" s="3" t="n">
        <v>0.0938189845474614</v>
      </c>
      <c r="N36" s="4" t="n">
        <f aca="false">M36*100000</f>
        <v>9381.89845474614</v>
      </c>
      <c r="O36" s="2" t="n">
        <v>302</v>
      </c>
      <c r="P36" s="2" t="n">
        <v>293</v>
      </c>
      <c r="Q36" s="6" t="n">
        <v>595</v>
      </c>
      <c r="R36" s="6" t="n">
        <v>57.54</v>
      </c>
      <c r="S36" s="17" t="n">
        <v>593</v>
      </c>
      <c r="T36" s="18" t="n">
        <f aca="false">(S36/J36)*100000</f>
        <v>127.611132511142</v>
      </c>
      <c r="U36" s="19" t="n">
        <v>1141</v>
      </c>
      <c r="V36" s="19" t="n">
        <v>167</v>
      </c>
      <c r="W36" s="19" t="n">
        <v>368</v>
      </c>
      <c r="X36" s="19" t="n">
        <v>8623</v>
      </c>
      <c r="Y36" s="19" t="n">
        <v>8995</v>
      </c>
      <c r="Z36" s="20" t="n">
        <f aca="false">(Y36/G36)*100000</f>
        <v>869.795610118832</v>
      </c>
      <c r="AA36" s="2" t="n">
        <v>5205</v>
      </c>
      <c r="AB36" s="6" t="n">
        <v>111</v>
      </c>
      <c r="AC36" s="4" t="n">
        <f aca="false">(AB36/G36)*100000</f>
        <v>10.7334422149183</v>
      </c>
      <c r="AD36" s="6" t="n">
        <v>8417</v>
      </c>
      <c r="AE36" s="4" t="n">
        <f aca="false">(AD36/G36)*100000</f>
        <v>813.904352459167</v>
      </c>
      <c r="AF36" s="6" t="n">
        <v>1561</v>
      </c>
      <c r="AG36" s="6" t="n">
        <v>611</v>
      </c>
      <c r="AH36" s="6" t="n">
        <v>817</v>
      </c>
      <c r="AI36" s="4" t="n">
        <f aca="false">(AH36/G36)*100000</f>
        <v>79.0020026089033</v>
      </c>
      <c r="AJ36" s="5" t="n">
        <f aca="false">Y36/J36</f>
        <v>0.0193568657156445</v>
      </c>
      <c r="AK36" s="2" t="n">
        <f aca="false">(Q36/Y36)*100000</f>
        <v>6614.7859922179</v>
      </c>
      <c r="AL36" s="2" t="n">
        <v>2384</v>
      </c>
      <c r="AM36" s="4" t="n">
        <f aca="false">(AL36/G36)*100000</f>
        <v>230.527263426714</v>
      </c>
      <c r="AN36" s="4" t="n">
        <f aca="false">1105.08-AM36</f>
        <v>874.552736573286</v>
      </c>
      <c r="AO36" s="6" t="n">
        <v>0.884</v>
      </c>
      <c r="AP36" s="6" t="n">
        <v>0.191</v>
      </c>
      <c r="AQ36" s="4" t="n">
        <f aca="false">J36/G36</f>
        <v>0.449347339024959</v>
      </c>
    </row>
    <row r="37" customFormat="false" ht="15" hidden="false" customHeight="false" outlineLevel="0" collapsed="false">
      <c r="A37" s="14" t="n">
        <v>17001</v>
      </c>
      <c r="B37" s="15" t="n">
        <v>17</v>
      </c>
      <c r="C37" s="15" t="s">
        <v>62</v>
      </c>
      <c r="D37" s="14" t="s">
        <v>63</v>
      </c>
      <c r="E37" s="14" t="s">
        <v>48</v>
      </c>
      <c r="F37" s="16" t="n">
        <v>454494</v>
      </c>
      <c r="G37" s="16" t="n">
        <v>1040284</v>
      </c>
      <c r="H37" s="16" t="n">
        <v>502719</v>
      </c>
      <c r="I37" s="16" t="n">
        <v>537565</v>
      </c>
      <c r="J37" s="16" t="n">
        <v>471864</v>
      </c>
      <c r="K37" s="16" t="n">
        <v>217501</v>
      </c>
      <c r="L37" s="16" t="n">
        <v>254363</v>
      </c>
      <c r="M37" s="3" t="n">
        <v>0.0826985854189336</v>
      </c>
      <c r="N37" s="4" t="n">
        <f aca="false">M37*100000</f>
        <v>8269.85854189336</v>
      </c>
      <c r="O37" s="2" t="n">
        <v>280</v>
      </c>
      <c r="P37" s="2" t="n">
        <v>231</v>
      </c>
      <c r="Q37" s="6" t="n">
        <v>511</v>
      </c>
      <c r="R37" s="6" t="n">
        <v>49.12</v>
      </c>
      <c r="S37" s="17" t="n">
        <v>507</v>
      </c>
      <c r="T37" s="18" t="n">
        <f aca="false">(S37/J37)*100000</f>
        <v>107.446213315701</v>
      </c>
      <c r="U37" s="19" t="n">
        <v>1241</v>
      </c>
      <c r="V37" s="19" t="n">
        <v>127</v>
      </c>
      <c r="W37" s="19" t="n">
        <v>257</v>
      </c>
      <c r="X37" s="19" t="n">
        <v>7985</v>
      </c>
      <c r="Y37" s="19" t="n">
        <v>8285</v>
      </c>
      <c r="Z37" s="20" t="n">
        <f aca="false">(Y37/G37)*100000</f>
        <v>796.417132244656</v>
      </c>
      <c r="AA37" s="2" t="n">
        <v>4941</v>
      </c>
      <c r="AB37" s="6" t="n">
        <v>235</v>
      </c>
      <c r="AC37" s="4" t="n">
        <f aca="false">(AB37/G37)*100000</f>
        <v>22.5899850425461</v>
      </c>
      <c r="AD37" s="6" t="n">
        <v>7889</v>
      </c>
      <c r="AE37" s="4" t="n">
        <f aca="false">(AD37/G37)*100000</f>
        <v>758.350604258068</v>
      </c>
      <c r="AF37" s="6" t="n">
        <v>1548</v>
      </c>
      <c r="AG37" s="6" t="n">
        <v>421</v>
      </c>
      <c r="AH37" s="6" t="n">
        <v>554</v>
      </c>
      <c r="AI37" s="4" t="n">
        <f aca="false">(AH37/G37)*100000</f>
        <v>53.2546881428533</v>
      </c>
      <c r="AJ37" s="5" t="n">
        <f aca="false">Y37/J37</f>
        <v>0.0175580251936999</v>
      </c>
      <c r="AK37" s="2" t="n">
        <f aca="false">(Q37/Y37)*100000</f>
        <v>6167.77308388654</v>
      </c>
      <c r="AL37" s="2" t="n">
        <v>4346</v>
      </c>
      <c r="AM37" s="4" t="n">
        <f aca="false">(AL37/G37)*100000</f>
        <v>417.770531893214</v>
      </c>
      <c r="AN37" s="4" t="n">
        <f aca="false">1105.08-AM37</f>
        <v>687.309468106786</v>
      </c>
      <c r="AO37" s="6" t="n">
        <v>0.873</v>
      </c>
      <c r="AP37" s="6" t="n">
        <v>0.177</v>
      </c>
      <c r="AQ37" s="4" t="n">
        <f aca="false">J37/G37</f>
        <v>0.453591519238977</v>
      </c>
    </row>
    <row r="38" customFormat="false" ht="15" hidden="false" customHeight="false" outlineLevel="0" collapsed="false">
      <c r="A38" s="14" t="n">
        <v>18001</v>
      </c>
      <c r="B38" s="15" t="n">
        <v>18</v>
      </c>
      <c r="C38" s="15" t="s">
        <v>64</v>
      </c>
      <c r="D38" s="14" t="s">
        <v>65</v>
      </c>
      <c r="E38" s="14" t="s">
        <v>45</v>
      </c>
      <c r="F38" s="16" t="n">
        <v>173293</v>
      </c>
      <c r="G38" s="16" t="n">
        <v>413688</v>
      </c>
      <c r="H38" s="16" t="n">
        <v>209112</v>
      </c>
      <c r="I38" s="16" t="n">
        <v>204576</v>
      </c>
      <c r="J38" s="16" t="n">
        <v>122867</v>
      </c>
      <c r="K38" s="16" t="n">
        <v>59925</v>
      </c>
      <c r="L38" s="16" t="n">
        <v>62942</v>
      </c>
      <c r="M38" s="3" t="n">
        <v>0.027190332326284</v>
      </c>
      <c r="N38" s="4" t="n">
        <f aca="false">M38*100000</f>
        <v>2719.0332326284</v>
      </c>
      <c r="O38" s="2" t="n">
        <v>54</v>
      </c>
      <c r="P38" s="2" t="n">
        <v>40</v>
      </c>
      <c r="Q38" s="6" t="n">
        <v>94</v>
      </c>
      <c r="R38" s="6" t="n">
        <v>22.72</v>
      </c>
      <c r="S38" s="17" t="n">
        <v>93</v>
      </c>
      <c r="T38" s="18" t="n">
        <f aca="false">(S38/J38)*100000</f>
        <v>75.6916014877876</v>
      </c>
      <c r="U38" s="19" t="n">
        <v>288</v>
      </c>
      <c r="V38" s="19" t="n">
        <v>14</v>
      </c>
      <c r="W38" s="19" t="n">
        <v>52</v>
      </c>
      <c r="X38" s="19" t="n">
        <v>1350</v>
      </c>
      <c r="Y38" s="19" t="n">
        <v>1393</v>
      </c>
      <c r="Z38" s="20" t="n">
        <f aca="false">(Y38/G38)*100000</f>
        <v>336.727195374292</v>
      </c>
      <c r="AA38" s="2" t="n">
        <v>853</v>
      </c>
      <c r="AB38" s="6" t="n">
        <v>34</v>
      </c>
      <c r="AC38" s="4" t="n">
        <f aca="false">(AB38/G38)*100000</f>
        <v>8.21875423024115</v>
      </c>
      <c r="AD38" s="6" t="n">
        <v>1304</v>
      </c>
      <c r="AE38" s="4" t="n">
        <f aca="false">(AD38/G38)*100000</f>
        <v>315.213397536308</v>
      </c>
      <c r="AF38" s="6" t="n">
        <v>335</v>
      </c>
      <c r="AG38" s="6" t="n">
        <v>224</v>
      </c>
      <c r="AH38" s="6" t="n">
        <v>227</v>
      </c>
      <c r="AI38" s="4" t="n">
        <f aca="false">(AH38/G38)*100000</f>
        <v>54.8722708901394</v>
      </c>
      <c r="AJ38" s="5" t="n">
        <f aca="false">Y38/J38</f>
        <v>0.0113374624594073</v>
      </c>
      <c r="AK38" s="2" t="n">
        <f aca="false">(Q38/Y38)*100000</f>
        <v>6748.02584350323</v>
      </c>
      <c r="AL38" s="2" t="n">
        <v>145</v>
      </c>
      <c r="AM38" s="4" t="n">
        <f aca="false">(AL38/G38)*100000</f>
        <v>35.0505695113225</v>
      </c>
      <c r="AN38" s="4" t="n">
        <f aca="false">1105.08-AM38</f>
        <v>1070.02943048868</v>
      </c>
      <c r="AO38" s="6" t="n">
        <v>0.931</v>
      </c>
      <c r="AP38" s="6" t="n">
        <v>0.318</v>
      </c>
      <c r="AQ38" s="4" t="n">
        <f aca="false">J38/G38</f>
        <v>0.297004022355012</v>
      </c>
    </row>
    <row r="39" customFormat="false" ht="15" hidden="false" customHeight="false" outlineLevel="0" collapsed="false">
      <c r="A39" s="14" t="n">
        <v>18001</v>
      </c>
      <c r="B39" s="15" t="n">
        <v>18</v>
      </c>
      <c r="C39" s="15" t="s">
        <v>64</v>
      </c>
      <c r="D39" s="14" t="s">
        <v>65</v>
      </c>
      <c r="E39" s="14" t="s">
        <v>46</v>
      </c>
      <c r="F39" s="16" t="n">
        <v>175182</v>
      </c>
      <c r="G39" s="16" t="n">
        <v>418267</v>
      </c>
      <c r="H39" s="16" t="n">
        <v>211056</v>
      </c>
      <c r="I39" s="16" t="n">
        <v>207211</v>
      </c>
      <c r="J39" s="16" t="n">
        <v>125581</v>
      </c>
      <c r="K39" s="16" t="n">
        <v>60986</v>
      </c>
      <c r="L39" s="16" t="n">
        <v>64595</v>
      </c>
      <c r="M39" s="3" t="n">
        <v>0.0356083086053413</v>
      </c>
      <c r="N39" s="4" t="n">
        <f aca="false">M39*100000</f>
        <v>3560.83086053413</v>
      </c>
      <c r="O39" s="2" t="n">
        <v>30</v>
      </c>
      <c r="P39" s="2" t="n">
        <v>32</v>
      </c>
      <c r="Q39" s="6" t="n">
        <v>62</v>
      </c>
      <c r="R39" s="6" t="n">
        <v>14.82</v>
      </c>
      <c r="S39" s="17" t="n">
        <v>60</v>
      </c>
      <c r="T39" s="18" t="n">
        <f aca="false">(S39/J39)*100000</f>
        <v>47.7779281897739</v>
      </c>
      <c r="U39" s="19" t="n">
        <v>251</v>
      </c>
      <c r="V39" s="19" t="n">
        <v>67</v>
      </c>
      <c r="W39" s="19" t="n">
        <v>53</v>
      </c>
      <c r="X39" s="19" t="n">
        <v>1164</v>
      </c>
      <c r="Y39" s="19" t="n">
        <v>1226</v>
      </c>
      <c r="Z39" s="20" t="n">
        <f aca="false">(Y39/G39)*100000</f>
        <v>293.114206953931</v>
      </c>
      <c r="AA39" s="2" t="n">
        <v>676</v>
      </c>
      <c r="AB39" s="6" t="n">
        <v>122</v>
      </c>
      <c r="AC39" s="4" t="n">
        <f aca="false">(AB39/G39)*100000</f>
        <v>29.1679716544695</v>
      </c>
      <c r="AD39" s="6" t="n">
        <v>1144</v>
      </c>
      <c r="AE39" s="4" t="n">
        <f aca="false">(AD39/G39)*100000</f>
        <v>273.50950469437</v>
      </c>
      <c r="AF39" s="6" t="n">
        <v>339</v>
      </c>
      <c r="AG39" s="6" t="n">
        <v>135</v>
      </c>
      <c r="AH39" s="6" t="n">
        <v>135</v>
      </c>
      <c r="AI39" s="4" t="n">
        <f aca="false">(AH39/G39)*100000</f>
        <v>32.2760342078146</v>
      </c>
      <c r="AJ39" s="5" t="n">
        <f aca="false">Y39/J39</f>
        <v>0.00976262332677714</v>
      </c>
      <c r="AK39" s="2" t="n">
        <f aca="false">(Q39/Y39)*100000</f>
        <v>5057.09624796085</v>
      </c>
      <c r="AL39" s="2" t="n">
        <v>556</v>
      </c>
      <c r="AM39" s="4" t="n">
        <f aca="false">(AL39/G39)*100000</f>
        <v>132.929444589222</v>
      </c>
      <c r="AN39" s="4" t="n">
        <f aca="false">1105.08-AM39</f>
        <v>972.150555410778</v>
      </c>
      <c r="AO39" s="6" t="n">
        <v>0.901</v>
      </c>
      <c r="AP39" s="6" t="n">
        <v>0.269</v>
      </c>
      <c r="AQ39" s="4" t="n">
        <f aca="false">J39/G39</f>
        <v>0.300241233470487</v>
      </c>
    </row>
    <row r="40" customFormat="false" ht="15" hidden="false" customHeight="false" outlineLevel="0" collapsed="false">
      <c r="A40" s="14" t="n">
        <v>18001</v>
      </c>
      <c r="B40" s="15" t="n">
        <v>18</v>
      </c>
      <c r="C40" s="15" t="s">
        <v>64</v>
      </c>
      <c r="D40" s="14" t="s">
        <v>65</v>
      </c>
      <c r="E40" s="14" t="s">
        <v>47</v>
      </c>
      <c r="F40" s="16" t="n">
        <v>176630</v>
      </c>
      <c r="G40" s="16" t="n">
        <v>421797</v>
      </c>
      <c r="H40" s="16" t="n">
        <v>212489</v>
      </c>
      <c r="I40" s="16" t="n">
        <v>209308</v>
      </c>
      <c r="J40" s="16" t="n">
        <v>128287</v>
      </c>
      <c r="K40" s="16" t="n">
        <v>62078</v>
      </c>
      <c r="L40" s="16" t="n">
        <v>66209</v>
      </c>
      <c r="M40" s="3" t="n">
        <v>0.0292397660818713</v>
      </c>
      <c r="N40" s="4" t="n">
        <f aca="false">M40*100000</f>
        <v>2923.97660818713</v>
      </c>
      <c r="O40" s="2" t="n">
        <v>63</v>
      </c>
      <c r="P40" s="2" t="n">
        <v>47</v>
      </c>
      <c r="Q40" s="6" t="n">
        <v>110</v>
      </c>
      <c r="R40" s="6" t="n">
        <v>26.08</v>
      </c>
      <c r="S40" s="17" t="n">
        <v>109</v>
      </c>
      <c r="T40" s="18" t="n">
        <f aca="false">(S40/J40)*100000</f>
        <v>84.9657408778754</v>
      </c>
      <c r="U40" s="19" t="n">
        <v>309</v>
      </c>
      <c r="V40" s="19" t="n">
        <v>126</v>
      </c>
      <c r="W40" s="19" t="n">
        <v>92</v>
      </c>
      <c r="X40" s="19" t="n">
        <v>1218</v>
      </c>
      <c r="Y40" s="19" t="n">
        <v>1315</v>
      </c>
      <c r="Z40" s="20" t="n">
        <f aca="false">(Y40/G40)*100000</f>
        <v>311.761344912363</v>
      </c>
      <c r="AA40" s="2" t="n">
        <v>734</v>
      </c>
      <c r="AB40" s="6" t="n">
        <v>114</v>
      </c>
      <c r="AC40" s="4" t="n">
        <f aca="false">(AB40/G40)*100000</f>
        <v>27.02721925476</v>
      </c>
      <c r="AD40" s="6" t="n">
        <v>1172</v>
      </c>
      <c r="AE40" s="4" t="n">
        <f aca="false">(AD40/G40)*100000</f>
        <v>277.858780408585</v>
      </c>
      <c r="AF40" s="6" t="n">
        <v>456</v>
      </c>
      <c r="AG40" s="6" t="n">
        <v>177</v>
      </c>
      <c r="AH40" s="6" t="n">
        <v>258</v>
      </c>
      <c r="AI40" s="4" t="n">
        <f aca="false">(AH40/G40)*100000</f>
        <v>61.1668646291937</v>
      </c>
      <c r="AJ40" s="5" t="n">
        <f aca="false">Y40/J40</f>
        <v>0.0102504540600373</v>
      </c>
      <c r="AK40" s="2" t="n">
        <f aca="false">(Q40/Y40)*100000</f>
        <v>8365.01901140684</v>
      </c>
      <c r="AL40" s="2" t="n">
        <v>529</v>
      </c>
      <c r="AM40" s="4" t="n">
        <f aca="false">(AL40/G40)*100000</f>
        <v>125.415780576913</v>
      </c>
      <c r="AN40" s="4" t="n">
        <f aca="false">1105.08-AM40</f>
        <v>979.664219423087</v>
      </c>
      <c r="AO40" s="6" t="n">
        <v>0.924</v>
      </c>
      <c r="AP40" s="6" t="n">
        <v>0.269</v>
      </c>
      <c r="AQ40" s="4" t="n">
        <f aca="false">J40/G40</f>
        <v>0.304143936538193</v>
      </c>
    </row>
    <row r="41" customFormat="false" ht="15" hidden="false" customHeight="false" outlineLevel="0" collapsed="false">
      <c r="A41" s="14" t="n">
        <v>18001</v>
      </c>
      <c r="B41" s="15" t="n">
        <v>18</v>
      </c>
      <c r="C41" s="15" t="s">
        <v>64</v>
      </c>
      <c r="D41" s="14" t="s">
        <v>65</v>
      </c>
      <c r="E41" s="14" t="s">
        <v>48</v>
      </c>
      <c r="F41" s="16" t="n">
        <v>177946</v>
      </c>
      <c r="G41" s="16" t="n">
        <v>425053</v>
      </c>
      <c r="H41" s="16" t="n">
        <v>213797</v>
      </c>
      <c r="I41" s="16" t="n">
        <v>211256</v>
      </c>
      <c r="J41" s="16" t="n">
        <v>131244</v>
      </c>
      <c r="K41" s="16" t="n">
        <v>63314</v>
      </c>
      <c r="L41" s="16" t="n">
        <v>67930</v>
      </c>
      <c r="M41" s="3" t="n">
        <v>0.0375722543352601</v>
      </c>
      <c r="N41" s="4" t="n">
        <f aca="false">M41*100000</f>
        <v>3757.22543352601</v>
      </c>
      <c r="O41" s="2" t="n">
        <v>81</v>
      </c>
      <c r="P41" s="2" t="n">
        <v>51</v>
      </c>
      <c r="Q41" s="6" t="n">
        <v>132</v>
      </c>
      <c r="R41" s="6" t="n">
        <v>31.05</v>
      </c>
      <c r="S41" s="17" t="n">
        <v>131</v>
      </c>
      <c r="T41" s="18" t="n">
        <f aca="false">(S41/J41)*100000</f>
        <v>99.8140867392033</v>
      </c>
      <c r="U41" s="19" t="n">
        <v>332</v>
      </c>
      <c r="V41" s="19" t="n">
        <v>96</v>
      </c>
      <c r="W41" s="19" t="n">
        <v>119</v>
      </c>
      <c r="X41" s="19" t="n">
        <v>1251</v>
      </c>
      <c r="Y41" s="19" t="n">
        <v>1328</v>
      </c>
      <c r="Z41" s="20" t="n">
        <f aca="false">(Y41/G41)*100000</f>
        <v>312.431626173677</v>
      </c>
      <c r="AA41" s="2" t="n">
        <v>836</v>
      </c>
      <c r="AB41" s="6" t="n">
        <v>112</v>
      </c>
      <c r="AC41" s="4" t="n">
        <f aca="false">(AB41/G41)*100000</f>
        <v>26.3496552194667</v>
      </c>
      <c r="AD41" s="6" t="n">
        <v>1225</v>
      </c>
      <c r="AE41" s="4" t="n">
        <f aca="false">(AD41/G41)*100000</f>
        <v>288.199353962918</v>
      </c>
      <c r="AF41" s="6" t="n">
        <v>490</v>
      </c>
      <c r="AG41" s="6" t="n">
        <v>187</v>
      </c>
      <c r="AH41" s="6" t="n">
        <v>255</v>
      </c>
      <c r="AI41" s="4" t="n">
        <f aca="false">(AH41/G41)*100000</f>
        <v>59.9925185800359</v>
      </c>
      <c r="AJ41" s="5" t="n">
        <f aca="false">Y41/J41</f>
        <v>0.0101185578007376</v>
      </c>
      <c r="AK41" s="2" t="n">
        <f aca="false">(Q41/Y41)*100000</f>
        <v>9939.75903614458</v>
      </c>
      <c r="AL41" s="2" t="n">
        <v>569</v>
      </c>
      <c r="AM41" s="4" t="n">
        <f aca="false">(AL41/G41)*100000</f>
        <v>133.865659106041</v>
      </c>
      <c r="AN41" s="4" t="n">
        <f aca="false">1105.08-AM41</f>
        <v>971.214340893959</v>
      </c>
      <c r="AO41" s="6" t="n">
        <v>0.926</v>
      </c>
      <c r="AP41" s="6" t="n">
        <v>0.214</v>
      </c>
      <c r="AQ41" s="4" t="n">
        <f aca="false">J41/G41</f>
        <v>0.308770906216401</v>
      </c>
    </row>
    <row r="42" customFormat="false" ht="15" hidden="false" customHeight="false" outlineLevel="0" collapsed="false">
      <c r="A42" s="14" t="n">
        <v>85001</v>
      </c>
      <c r="B42" s="15" t="n">
        <v>85</v>
      </c>
      <c r="C42" s="15" t="s">
        <v>66</v>
      </c>
      <c r="D42" s="14" t="s">
        <v>67</v>
      </c>
      <c r="E42" s="14" t="s">
        <v>45</v>
      </c>
      <c r="F42" s="16" t="n">
        <v>180151</v>
      </c>
      <c r="G42" s="16" t="n">
        <v>443532</v>
      </c>
      <c r="H42" s="16" t="n">
        <v>223598</v>
      </c>
      <c r="I42" s="16" t="n">
        <v>219934</v>
      </c>
      <c r="J42" s="16" t="n">
        <v>137298</v>
      </c>
      <c r="K42" s="16" t="n">
        <v>69058</v>
      </c>
      <c r="L42" s="16" t="n">
        <v>68240</v>
      </c>
      <c r="M42" s="3" t="n">
        <v>0.0446927374301676</v>
      </c>
      <c r="N42" s="4" t="n">
        <f aca="false">M42*100000</f>
        <v>4469.27374301676</v>
      </c>
      <c r="O42" s="2" t="n">
        <v>33</v>
      </c>
      <c r="P42" s="2" t="n">
        <v>21</v>
      </c>
      <c r="Q42" s="6" t="n">
        <v>54</v>
      </c>
      <c r="R42" s="6" t="n">
        <v>12.17</v>
      </c>
      <c r="S42" s="17" t="n">
        <v>53</v>
      </c>
      <c r="T42" s="18" t="n">
        <f aca="false">(S42/J42)*100000</f>
        <v>38.6021646345905</v>
      </c>
      <c r="U42" s="19" t="n">
        <v>65</v>
      </c>
      <c r="V42" s="19" t="n">
        <v>12</v>
      </c>
      <c r="W42" s="19" t="n">
        <v>41</v>
      </c>
      <c r="X42" s="19" t="n">
        <v>348</v>
      </c>
      <c r="Y42" s="19" t="n">
        <v>373</v>
      </c>
      <c r="Z42" s="20" t="n">
        <f aca="false">(Y42/G42)*100000</f>
        <v>84.0976524805426</v>
      </c>
      <c r="AA42" s="2" t="n">
        <v>172</v>
      </c>
      <c r="AB42" s="6" t="n">
        <v>0</v>
      </c>
      <c r="AC42" s="4" t="n">
        <f aca="false">(AB42/G42)*100000</f>
        <v>0</v>
      </c>
      <c r="AD42" s="6" t="n">
        <v>341</v>
      </c>
      <c r="AE42" s="4" t="n">
        <f aca="false">(AD42/G42)*100000</f>
        <v>76.882840471488</v>
      </c>
      <c r="AF42" s="6" t="n">
        <v>101</v>
      </c>
      <c r="AG42" s="6" t="n">
        <v>19</v>
      </c>
      <c r="AH42" s="6" t="n">
        <v>26</v>
      </c>
      <c r="AI42" s="4" t="n">
        <f aca="false">(AH42/G42)*100000</f>
        <v>5.86203475735685</v>
      </c>
      <c r="AJ42" s="5" t="n">
        <f aca="false">Y42/J42</f>
        <v>0.00271671837900042</v>
      </c>
      <c r="AK42" s="2" t="n">
        <f aca="false">(Q42/Y42)*100000</f>
        <v>14477.2117962467</v>
      </c>
      <c r="AL42" s="2" t="n">
        <v>166</v>
      </c>
      <c r="AM42" s="4" t="n">
        <f aca="false">(AL42/G42)*100000</f>
        <v>37.4268372969707</v>
      </c>
      <c r="AN42" s="4" t="n">
        <f aca="false">1105.08-AM42</f>
        <v>1067.65316270303</v>
      </c>
      <c r="AO42" s="6" t="n">
        <v>0.734</v>
      </c>
      <c r="AP42" s="6" t="n">
        <v>0.114</v>
      </c>
      <c r="AQ42" s="4" t="n">
        <f aca="false">J42/G42</f>
        <v>0.309556018505993</v>
      </c>
    </row>
    <row r="43" customFormat="false" ht="15" hidden="false" customHeight="false" outlineLevel="0" collapsed="false">
      <c r="A43" s="14" t="n">
        <v>85001</v>
      </c>
      <c r="B43" s="15" t="n">
        <v>85</v>
      </c>
      <c r="C43" s="15" t="s">
        <v>66</v>
      </c>
      <c r="D43" s="14" t="s">
        <v>67</v>
      </c>
      <c r="E43" s="14" t="s">
        <v>46</v>
      </c>
      <c r="F43" s="16" t="n">
        <v>184803</v>
      </c>
      <c r="G43" s="16" t="n">
        <v>452098</v>
      </c>
      <c r="H43" s="16" t="n">
        <v>227592</v>
      </c>
      <c r="I43" s="16" t="n">
        <v>224506</v>
      </c>
      <c r="J43" s="16" t="n">
        <v>142711</v>
      </c>
      <c r="K43" s="16" t="n">
        <v>71522</v>
      </c>
      <c r="L43" s="16" t="n">
        <v>71189</v>
      </c>
      <c r="M43" s="3" t="n">
        <v>0.0524861878453039</v>
      </c>
      <c r="N43" s="4" t="n">
        <f aca="false">M43*100000</f>
        <v>5248.61878453039</v>
      </c>
      <c r="O43" s="2" t="n">
        <v>29</v>
      </c>
      <c r="P43" s="2" t="n">
        <v>18</v>
      </c>
      <c r="Q43" s="6" t="n">
        <v>47</v>
      </c>
      <c r="R43" s="6" t="n">
        <v>10.4</v>
      </c>
      <c r="S43" s="17" t="n">
        <v>47</v>
      </c>
      <c r="T43" s="18" t="n">
        <f aca="false">(S43/J43)*100000</f>
        <v>32.9336911660629</v>
      </c>
      <c r="U43" s="19" t="n">
        <v>178</v>
      </c>
      <c r="V43" s="19" t="n">
        <v>9</v>
      </c>
      <c r="W43" s="19" t="n">
        <v>30</v>
      </c>
      <c r="X43" s="19" t="n">
        <v>579</v>
      </c>
      <c r="Y43" s="19" t="n">
        <v>653</v>
      </c>
      <c r="Z43" s="20" t="n">
        <f aca="false">(Y43/G43)*100000</f>
        <v>144.43771040792</v>
      </c>
      <c r="AA43" s="2" t="n">
        <v>326</v>
      </c>
      <c r="AB43" s="6" t="n">
        <v>24</v>
      </c>
      <c r="AC43" s="4" t="n">
        <f aca="false">(AB43/G43)*100000</f>
        <v>5.30858353719769</v>
      </c>
      <c r="AD43" s="6" t="n">
        <v>573</v>
      </c>
      <c r="AE43" s="4" t="n">
        <f aca="false">(AD43/G43)*100000</f>
        <v>126.742431950595</v>
      </c>
      <c r="AF43" s="6" t="n">
        <v>209</v>
      </c>
      <c r="AG43" s="6" t="n">
        <v>13</v>
      </c>
      <c r="AH43" s="6" t="n">
        <v>18</v>
      </c>
      <c r="AI43" s="4" t="n">
        <f aca="false">(AH43/G43)*100000</f>
        <v>3.98143765289827</v>
      </c>
      <c r="AJ43" s="5" t="n">
        <f aca="false">Y43/J43</f>
        <v>0.00457568092158278</v>
      </c>
      <c r="AK43" s="2" t="n">
        <f aca="false">(Q43/Y43)*100000</f>
        <v>7197.54977029096</v>
      </c>
      <c r="AL43" s="2" t="n">
        <v>508</v>
      </c>
      <c r="AM43" s="4" t="n">
        <f aca="false">(AL43/G43)*100000</f>
        <v>112.365018204018</v>
      </c>
      <c r="AN43" s="4" t="n">
        <f aca="false">1105.08-AM43</f>
        <v>992.714981795982</v>
      </c>
      <c r="AO43" s="6" t="n">
        <v>0.736</v>
      </c>
      <c r="AP43" s="6" t="n">
        <v>0.094</v>
      </c>
      <c r="AQ43" s="4" t="n">
        <f aca="false">J43/G43</f>
        <v>0.315663860490425</v>
      </c>
    </row>
    <row r="44" customFormat="false" ht="15" hidden="false" customHeight="false" outlineLevel="0" collapsed="false">
      <c r="A44" s="14" t="n">
        <v>85001</v>
      </c>
      <c r="B44" s="15" t="n">
        <v>85</v>
      </c>
      <c r="C44" s="15" t="s">
        <v>66</v>
      </c>
      <c r="D44" s="14" t="s">
        <v>67</v>
      </c>
      <c r="E44" s="14" t="s">
        <v>47</v>
      </c>
      <c r="F44" s="16" t="n">
        <v>187954</v>
      </c>
      <c r="G44" s="16" t="n">
        <v>459973</v>
      </c>
      <c r="H44" s="16" t="n">
        <v>231177</v>
      </c>
      <c r="I44" s="16" t="n">
        <v>228796</v>
      </c>
      <c r="J44" s="16" t="n">
        <v>147991</v>
      </c>
      <c r="K44" s="16" t="n">
        <v>73880</v>
      </c>
      <c r="L44" s="16" t="n">
        <v>74111</v>
      </c>
      <c r="M44" s="3" t="n">
        <v>0.0412087912087912</v>
      </c>
      <c r="N44" s="4" t="n">
        <f aca="false">M44*100000</f>
        <v>4120.87912087912</v>
      </c>
      <c r="O44" s="2" t="n">
        <v>55</v>
      </c>
      <c r="P44" s="2" t="n">
        <v>43</v>
      </c>
      <c r="Q44" s="6" t="n">
        <v>98</v>
      </c>
      <c r="R44" s="6" t="n">
        <v>21.31</v>
      </c>
      <c r="S44" s="17" t="n">
        <v>97</v>
      </c>
      <c r="T44" s="18" t="n">
        <f aca="false">(S44/J44)*100000</f>
        <v>65.5445263563325</v>
      </c>
      <c r="U44" s="19" t="n">
        <v>134</v>
      </c>
      <c r="V44" s="19" t="n">
        <v>16</v>
      </c>
      <c r="W44" s="19" t="n">
        <v>23</v>
      </c>
      <c r="X44" s="19" t="n">
        <v>696</v>
      </c>
      <c r="Y44" s="19" t="n">
        <v>742</v>
      </c>
      <c r="Z44" s="20" t="n">
        <f aca="false">(Y44/G44)*100000</f>
        <v>161.313816245736</v>
      </c>
      <c r="AA44" s="2" t="n">
        <v>350</v>
      </c>
      <c r="AB44" s="6" t="n">
        <v>5</v>
      </c>
      <c r="AC44" s="4" t="n">
        <f aca="false">(AB44/G44)*100000</f>
        <v>1.08702032510604</v>
      </c>
      <c r="AD44" s="6" t="n">
        <v>668</v>
      </c>
      <c r="AE44" s="4" t="n">
        <f aca="false">(AD44/G44)*100000</f>
        <v>145.225915434167</v>
      </c>
      <c r="AF44" s="6" t="n">
        <v>165</v>
      </c>
      <c r="AG44" s="6" t="n">
        <v>53</v>
      </c>
      <c r="AH44" s="6" t="n">
        <v>76</v>
      </c>
      <c r="AI44" s="4" t="n">
        <f aca="false">(AH44/G44)*100000</f>
        <v>16.5227089416118</v>
      </c>
      <c r="AJ44" s="5" t="n">
        <f aca="false">Y44/J44</f>
        <v>0.00501381840787615</v>
      </c>
      <c r="AK44" s="2" t="n">
        <f aca="false">(Q44/Y44)*100000</f>
        <v>13207.5471698113</v>
      </c>
      <c r="AL44" s="2" t="n">
        <v>350</v>
      </c>
      <c r="AM44" s="4" t="n">
        <f aca="false">(AL44/G44)*100000</f>
        <v>76.0914227574227</v>
      </c>
      <c r="AN44" s="4" t="n">
        <f aca="false">1105.08-AM44</f>
        <v>1028.98857724258</v>
      </c>
      <c r="AO44" s="6" t="n">
        <v>0.728</v>
      </c>
      <c r="AP44" s="6" t="n">
        <v>0.073</v>
      </c>
      <c r="AQ44" s="4" t="n">
        <f aca="false">J44/G44</f>
        <v>0.321738449865536</v>
      </c>
    </row>
    <row r="45" s="33" customFormat="true" ht="15" hidden="false" customHeight="false" outlineLevel="0" collapsed="false">
      <c r="A45" s="21" t="n">
        <v>85001</v>
      </c>
      <c r="B45" s="22" t="n">
        <v>85</v>
      </c>
      <c r="C45" s="22" t="s">
        <v>66</v>
      </c>
      <c r="D45" s="21" t="s">
        <v>67</v>
      </c>
      <c r="E45" s="21" t="s">
        <v>48</v>
      </c>
      <c r="F45" s="23" t="n">
        <v>191133</v>
      </c>
      <c r="G45" s="23" t="n">
        <v>467775</v>
      </c>
      <c r="H45" s="23" t="n">
        <v>234776</v>
      </c>
      <c r="I45" s="23" t="n">
        <v>232999</v>
      </c>
      <c r="J45" s="23" t="n">
        <v>153480</v>
      </c>
      <c r="K45" s="23" t="n">
        <v>76352</v>
      </c>
      <c r="L45" s="23" t="n">
        <v>77128</v>
      </c>
      <c r="M45" s="24" t="n">
        <v>0.0544959128065395</v>
      </c>
      <c r="N45" s="25" t="n">
        <f aca="false">M45*100000</f>
        <v>5449.59128065395</v>
      </c>
      <c r="O45" s="26" t="n">
        <v>51</v>
      </c>
      <c r="P45" s="26" t="n">
        <v>51</v>
      </c>
      <c r="Q45" s="27" t="n">
        <v>102</v>
      </c>
      <c r="R45" s="27" t="n">
        <v>21.81</v>
      </c>
      <c r="S45" s="28" t="n">
        <v>102</v>
      </c>
      <c r="T45" s="29" t="n">
        <f aca="false">(S45/J45)*100000</f>
        <v>66.4581704456607</v>
      </c>
      <c r="U45" s="30" t="n">
        <v>54</v>
      </c>
      <c r="V45" s="30" t="n">
        <v>12</v>
      </c>
      <c r="W45" s="30" t="n">
        <v>18</v>
      </c>
      <c r="X45" s="30" t="n">
        <v>309</v>
      </c>
      <c r="Y45" s="30" t="n">
        <v>328</v>
      </c>
      <c r="Z45" s="31" t="n">
        <f aca="false">(Y45/G45)*100000</f>
        <v>70.1191812302923</v>
      </c>
      <c r="AA45" s="26" t="n">
        <v>156</v>
      </c>
      <c r="AB45" s="27" t="n">
        <v>17</v>
      </c>
      <c r="AC45" s="25" t="n">
        <f aca="false">(AB45/G45)*100000</f>
        <v>3.63422585644808</v>
      </c>
      <c r="AD45" s="27" t="n">
        <v>300</v>
      </c>
      <c r="AE45" s="25" t="n">
        <f aca="false">(AD45/G45)*100000</f>
        <v>64.1333974667308</v>
      </c>
      <c r="AF45" s="27" t="n">
        <v>80</v>
      </c>
      <c r="AG45" s="27" t="n">
        <v>23</v>
      </c>
      <c r="AH45" s="27" t="n">
        <v>34</v>
      </c>
      <c r="AI45" s="25" t="n">
        <f aca="false">(AH45/G45)*100000</f>
        <v>7.26845171289616</v>
      </c>
      <c r="AJ45" s="32" t="n">
        <f aca="false">Y45/J45</f>
        <v>0.00213708626531144</v>
      </c>
      <c r="AK45" s="26" t="n">
        <f aca="false">(Q45/Y45)*100000</f>
        <v>31097.5609756098</v>
      </c>
      <c r="AL45" s="26" t="n">
        <v>219</v>
      </c>
      <c r="AM45" s="25" t="n">
        <f aca="false">(AL45/G45)*100000</f>
        <v>46.8173801507135</v>
      </c>
      <c r="AN45" s="25" t="n">
        <f aca="false">1105.08-AM45</f>
        <v>1058.26261984929</v>
      </c>
      <c r="AO45" s="27" t="n">
        <v>0.762</v>
      </c>
      <c r="AP45" s="27" t="n">
        <v>0.076</v>
      </c>
      <c r="AQ45" s="25" t="n">
        <f aca="false">J45/G45</f>
        <v>0.328106461439795</v>
      </c>
      <c r="XFC45" s="27"/>
      <c r="XFD45" s="27"/>
    </row>
    <row r="46" customFormat="false" ht="15" hidden="false" customHeight="false" outlineLevel="0" collapsed="false">
      <c r="A46" s="14" t="n">
        <v>19001</v>
      </c>
      <c r="B46" s="15" t="n">
        <v>19</v>
      </c>
      <c r="C46" s="15" t="s">
        <v>68</v>
      </c>
      <c r="D46" s="14" t="s">
        <v>69</v>
      </c>
      <c r="E46" s="14" t="s">
        <v>45</v>
      </c>
      <c r="F46" s="16" t="n">
        <v>328217</v>
      </c>
      <c r="G46" s="16" t="n">
        <v>1508061</v>
      </c>
      <c r="H46" s="16" t="n">
        <v>746081</v>
      </c>
      <c r="I46" s="16" t="n">
        <v>761980</v>
      </c>
      <c r="J46" s="16" t="n">
        <v>522174</v>
      </c>
      <c r="K46" s="16" t="n">
        <v>248970</v>
      </c>
      <c r="L46" s="16" t="n">
        <v>273204</v>
      </c>
      <c r="M46" s="3" t="n">
        <v>0.0317208564631245</v>
      </c>
      <c r="N46" s="4" t="n">
        <f aca="false">M46*100000</f>
        <v>3172.08564631245</v>
      </c>
      <c r="O46" s="2" t="n">
        <v>181</v>
      </c>
      <c r="P46" s="2" t="n">
        <v>163</v>
      </c>
      <c r="Q46" s="6" t="n">
        <v>344</v>
      </c>
      <c r="R46" s="6" t="n">
        <v>22.81</v>
      </c>
      <c r="S46" s="17" t="n">
        <v>342</v>
      </c>
      <c r="T46" s="18" t="n">
        <f aca="false">(S46/J46)*100000</f>
        <v>65.4954095761183</v>
      </c>
      <c r="U46" s="19" t="n">
        <v>988</v>
      </c>
      <c r="V46" s="19" t="n">
        <v>260</v>
      </c>
      <c r="W46" s="19" t="n">
        <v>228</v>
      </c>
      <c r="X46" s="19" t="n">
        <v>4788</v>
      </c>
      <c r="Y46" s="19" t="n">
        <v>5059</v>
      </c>
      <c r="Z46" s="20" t="n">
        <f aca="false">(Y46/G46)*100000</f>
        <v>335.463883755365</v>
      </c>
      <c r="AA46" s="2" t="n">
        <v>2674</v>
      </c>
      <c r="AB46" s="6" t="n">
        <v>207</v>
      </c>
      <c r="AC46" s="4" t="n">
        <f aca="false">(AB46/G46)*100000</f>
        <v>13.7262352119709</v>
      </c>
      <c r="AD46" s="6" t="n">
        <v>4714</v>
      </c>
      <c r="AE46" s="4" t="n">
        <f aca="false">(AD46/G46)*100000</f>
        <v>312.586825068747</v>
      </c>
      <c r="AF46" s="6" t="n">
        <v>1337</v>
      </c>
      <c r="AG46" s="6" t="n">
        <v>293</v>
      </c>
      <c r="AH46" s="6" t="n">
        <v>371</v>
      </c>
      <c r="AI46" s="4" t="n">
        <f aca="false">(AH46/G46)*100000</f>
        <v>24.6011268774937</v>
      </c>
      <c r="AJ46" s="5" t="n">
        <f aca="false">Y46/J46</f>
        <v>0.00968834143408136</v>
      </c>
      <c r="AK46" s="2" t="n">
        <f aca="false">(Q46/Y46)*100000</f>
        <v>6799.76279897213</v>
      </c>
      <c r="AL46" s="2" t="n">
        <v>1834</v>
      </c>
      <c r="AM46" s="4" t="n">
        <f aca="false">(AL46/G46)*100000</f>
        <v>121.613117771761</v>
      </c>
      <c r="AN46" s="4" t="n">
        <f aca="false">1105.08-AM46</f>
        <v>983.466882228239</v>
      </c>
      <c r="AO46" s="6" t="n">
        <v>0.705</v>
      </c>
      <c r="AP46" s="6" t="n">
        <v>0.49</v>
      </c>
      <c r="AQ46" s="4" t="n">
        <f aca="false">J46/G46</f>
        <v>0.346255224423946</v>
      </c>
    </row>
    <row r="47" customFormat="false" ht="15" hidden="false" customHeight="false" outlineLevel="0" collapsed="false">
      <c r="A47" s="14" t="n">
        <v>19001</v>
      </c>
      <c r="B47" s="15" t="n">
        <v>19</v>
      </c>
      <c r="C47" s="15" t="s">
        <v>68</v>
      </c>
      <c r="D47" s="14" t="s">
        <v>69</v>
      </c>
      <c r="E47" s="14" t="s">
        <v>46</v>
      </c>
      <c r="F47" s="16" t="n">
        <v>332323</v>
      </c>
      <c r="G47" s="16" t="n">
        <v>1525284</v>
      </c>
      <c r="H47" s="16" t="n">
        <v>754124</v>
      </c>
      <c r="I47" s="16" t="n">
        <v>771160</v>
      </c>
      <c r="J47" s="16" t="n">
        <v>536803</v>
      </c>
      <c r="K47" s="16" t="n">
        <v>255824</v>
      </c>
      <c r="L47" s="16" t="n">
        <v>280979</v>
      </c>
      <c r="M47" s="3" t="n">
        <v>0.029874213836478</v>
      </c>
      <c r="N47" s="4" t="n">
        <f aca="false">M47*100000</f>
        <v>2987.4213836478</v>
      </c>
      <c r="O47" s="2" t="n">
        <v>194</v>
      </c>
      <c r="P47" s="2" t="n">
        <v>157</v>
      </c>
      <c r="Q47" s="6" t="n">
        <v>351</v>
      </c>
      <c r="R47" s="6" t="n">
        <v>23.01</v>
      </c>
      <c r="S47" s="17" t="n">
        <v>346</v>
      </c>
      <c r="T47" s="18" t="n">
        <f aca="false">(S47/J47)*100000</f>
        <v>64.4556755457775</v>
      </c>
      <c r="U47" s="19" t="n">
        <v>912</v>
      </c>
      <c r="V47" s="19" t="n">
        <v>118</v>
      </c>
      <c r="W47" s="19" t="n">
        <v>119</v>
      </c>
      <c r="X47" s="19" t="n">
        <v>4714</v>
      </c>
      <c r="Y47" s="19" t="n">
        <v>5006</v>
      </c>
      <c r="Z47" s="20" t="n">
        <f aca="false">(Y47/G47)*100000</f>
        <v>328.201174338681</v>
      </c>
      <c r="AA47" s="2" t="n">
        <v>2587</v>
      </c>
      <c r="AB47" s="6" t="n">
        <v>202</v>
      </c>
      <c r="AC47" s="4" t="n">
        <f aca="false">(AB47/G47)*100000</f>
        <v>13.2434353208976</v>
      </c>
      <c r="AD47" s="6" t="n">
        <v>4637</v>
      </c>
      <c r="AE47" s="4" t="n">
        <f aca="false">(AD47/G47)*100000</f>
        <v>304.008958331694</v>
      </c>
      <c r="AF47" s="6" t="n">
        <v>1102</v>
      </c>
      <c r="AG47" s="6" t="n">
        <v>261</v>
      </c>
      <c r="AH47" s="6" t="n">
        <v>293</v>
      </c>
      <c r="AI47" s="4" t="n">
        <f aca="false">(AH47/G47)*100000</f>
        <v>19.209537371401</v>
      </c>
      <c r="AJ47" s="5" t="n">
        <f aca="false">Y47/J47</f>
        <v>0.00932558126538041</v>
      </c>
      <c r="AK47" s="2" t="n">
        <f aca="false">(Q47/Y47)*100000</f>
        <v>7011.58609668398</v>
      </c>
      <c r="AL47" s="2" t="n">
        <v>2272</v>
      </c>
      <c r="AM47" s="4" t="n">
        <f aca="false">(AL47/G47)*100000</f>
        <v>148.955866579601</v>
      </c>
      <c r="AN47" s="4" t="n">
        <f aca="false">1105.08-AM47</f>
        <v>956.124133420399</v>
      </c>
      <c r="AO47" s="6" t="n">
        <v>0.848</v>
      </c>
      <c r="AP47" s="6" t="n">
        <v>0.36</v>
      </c>
      <c r="AQ47" s="4" t="n">
        <f aca="false">J47/G47</f>
        <v>0.351936426265535</v>
      </c>
    </row>
    <row r="48" customFormat="false" ht="15" hidden="false" customHeight="false" outlineLevel="0" collapsed="false">
      <c r="A48" s="14" t="n">
        <v>19001</v>
      </c>
      <c r="B48" s="15" t="n">
        <v>19</v>
      </c>
      <c r="C48" s="15" t="s">
        <v>68</v>
      </c>
      <c r="D48" s="14" t="s">
        <v>69</v>
      </c>
      <c r="E48" s="14" t="s">
        <v>47</v>
      </c>
      <c r="F48" s="16" t="n">
        <v>335826</v>
      </c>
      <c r="G48" s="16" t="n">
        <v>1541265</v>
      </c>
      <c r="H48" s="16" t="n">
        <v>761516</v>
      </c>
      <c r="I48" s="16" t="n">
        <v>779749</v>
      </c>
      <c r="J48" s="16" t="n">
        <v>551337</v>
      </c>
      <c r="K48" s="16" t="n">
        <v>262683</v>
      </c>
      <c r="L48" s="16" t="n">
        <v>288654</v>
      </c>
      <c r="M48" s="3" t="n">
        <v>0.0249609984399376</v>
      </c>
      <c r="N48" s="4" t="n">
        <f aca="false">M48*100000</f>
        <v>2496.09984399376</v>
      </c>
      <c r="O48" s="2" t="n">
        <v>232</v>
      </c>
      <c r="P48" s="2" t="n">
        <v>174</v>
      </c>
      <c r="Q48" s="6" t="n">
        <v>406</v>
      </c>
      <c r="R48" s="6" t="n">
        <v>26.34</v>
      </c>
      <c r="S48" s="17" t="n">
        <v>402</v>
      </c>
      <c r="T48" s="18" t="n">
        <f aca="false">(S48/J48)*100000</f>
        <v>72.9136626056296</v>
      </c>
      <c r="U48" s="19" t="n">
        <v>1154</v>
      </c>
      <c r="V48" s="19" t="n">
        <v>109</v>
      </c>
      <c r="W48" s="19" t="n">
        <v>134</v>
      </c>
      <c r="X48" s="19" t="n">
        <v>4587</v>
      </c>
      <c r="Y48" s="19" t="n">
        <v>4785</v>
      </c>
      <c r="Z48" s="20" t="n">
        <f aca="false">(Y48/G48)*100000</f>
        <v>310.459265603255</v>
      </c>
      <c r="AA48" s="2" t="n">
        <v>2674</v>
      </c>
      <c r="AB48" s="6" t="n">
        <v>142</v>
      </c>
      <c r="AC48" s="4" t="n">
        <f aca="false">(AB48/G48)*100000</f>
        <v>9.21321122584371</v>
      </c>
      <c r="AD48" s="6" t="n">
        <v>4525</v>
      </c>
      <c r="AE48" s="4" t="n">
        <f aca="false">(AD48/G48)*100000</f>
        <v>293.590005612273</v>
      </c>
      <c r="AF48" s="6" t="n">
        <v>1331</v>
      </c>
      <c r="AG48" s="6" t="n">
        <v>264</v>
      </c>
      <c r="AH48" s="6" t="n">
        <v>397</v>
      </c>
      <c r="AI48" s="4" t="n">
        <f aca="false">(AH48/G48)*100000</f>
        <v>25.7580623708447</v>
      </c>
      <c r="AJ48" s="5" t="n">
        <f aca="false">Y48/J48</f>
        <v>0.00867890237731188</v>
      </c>
      <c r="AK48" s="2" t="n">
        <f aca="false">(Q48/Y48)*100000</f>
        <v>8484.84848484849</v>
      </c>
      <c r="AL48" s="2" t="n">
        <v>2239</v>
      </c>
      <c r="AM48" s="4" t="n">
        <f aca="false">(AL48/G48)*100000</f>
        <v>145.270281230029</v>
      </c>
      <c r="AN48" s="4" t="n">
        <f aca="false">1105.08-AM48</f>
        <v>959.809718769971</v>
      </c>
      <c r="AO48" s="6" t="n">
        <v>0.845</v>
      </c>
      <c r="AP48" s="6" t="n">
        <v>0.368</v>
      </c>
      <c r="AQ48" s="4" t="n">
        <f aca="false">J48/G48</f>
        <v>0.357717199832605</v>
      </c>
    </row>
    <row r="49" customFormat="false" ht="15" hidden="false" customHeight="false" outlineLevel="0" collapsed="false">
      <c r="A49" s="14" t="n">
        <v>19001</v>
      </c>
      <c r="B49" s="15" t="n">
        <v>19</v>
      </c>
      <c r="C49" s="15" t="s">
        <v>68</v>
      </c>
      <c r="D49" s="14" t="s">
        <v>69</v>
      </c>
      <c r="E49" s="14" t="s">
        <v>48</v>
      </c>
      <c r="F49" s="16" t="n">
        <v>339454</v>
      </c>
      <c r="G49" s="16" t="n">
        <v>1558045</v>
      </c>
      <c r="H49" s="16" t="n">
        <v>769354</v>
      </c>
      <c r="I49" s="16" t="n">
        <v>788691</v>
      </c>
      <c r="J49" s="16" t="n">
        <v>566460</v>
      </c>
      <c r="K49" s="16" t="n">
        <v>269824</v>
      </c>
      <c r="L49" s="16" t="n">
        <v>296636</v>
      </c>
      <c r="M49" s="3" t="n">
        <v>0.0330769230769231</v>
      </c>
      <c r="N49" s="4" t="n">
        <f aca="false">M49*100000</f>
        <v>3307.69230769231</v>
      </c>
      <c r="O49" s="2" t="n">
        <v>170</v>
      </c>
      <c r="P49" s="2" t="n">
        <v>164</v>
      </c>
      <c r="Q49" s="6" t="n">
        <v>334</v>
      </c>
      <c r="R49" s="6" t="n">
        <v>21.44</v>
      </c>
      <c r="S49" s="17" t="n">
        <v>332</v>
      </c>
      <c r="T49" s="18" t="n">
        <f aca="false">(S49/J49)*100000</f>
        <v>58.6096105638527</v>
      </c>
      <c r="U49" s="19" t="n">
        <v>1291</v>
      </c>
      <c r="V49" s="19" t="n">
        <v>141</v>
      </c>
      <c r="W49" s="19" t="n">
        <v>147</v>
      </c>
      <c r="X49" s="19" t="n">
        <v>4934</v>
      </c>
      <c r="Y49" s="19" t="n">
        <v>5164</v>
      </c>
      <c r="Z49" s="20" t="n">
        <f aca="false">(Y49/G49)*100000</f>
        <v>331.441004592294</v>
      </c>
      <c r="AA49" s="2" t="n">
        <v>2473</v>
      </c>
      <c r="AB49" s="6" t="n">
        <v>116</v>
      </c>
      <c r="AC49" s="4" t="n">
        <f aca="false">(AB49/G49)*100000</f>
        <v>7.44522783359916</v>
      </c>
      <c r="AD49" s="6" t="n">
        <v>4877</v>
      </c>
      <c r="AE49" s="4" t="n">
        <f aca="false">(AD49/G49)*100000</f>
        <v>313.020484003992</v>
      </c>
      <c r="AF49" s="6" t="n">
        <v>1498</v>
      </c>
      <c r="AG49" s="6" t="n">
        <v>308</v>
      </c>
      <c r="AH49" s="6" t="n">
        <v>436</v>
      </c>
      <c r="AI49" s="4" t="n">
        <f aca="false">(AH49/G49)*100000</f>
        <v>27.9837873745624</v>
      </c>
      <c r="AJ49" s="5" t="n">
        <f aca="false">Y49/J49</f>
        <v>0.00911626593228119</v>
      </c>
      <c r="AK49" s="2" t="n">
        <f aca="false">(Q49/Y49)*100000</f>
        <v>6467.85437645236</v>
      </c>
      <c r="AL49" s="2" t="n">
        <v>2174</v>
      </c>
      <c r="AM49" s="4" t="n">
        <f aca="false">(AL49/G49)*100000</f>
        <v>139.533838881419</v>
      </c>
      <c r="AN49" s="4" t="n">
        <f aca="false">1105.08-AM49</f>
        <v>965.546161118581</v>
      </c>
      <c r="AO49" s="6" t="n">
        <v>0.893</v>
      </c>
      <c r="AP49" s="6" t="n">
        <v>0.374</v>
      </c>
      <c r="AQ49" s="4" t="n">
        <f aca="false">J49/G49</f>
        <v>0.363571013674188</v>
      </c>
    </row>
    <row r="50" customFormat="false" ht="15" hidden="false" customHeight="false" outlineLevel="0" collapsed="false">
      <c r="A50" s="14" t="n">
        <v>20001</v>
      </c>
      <c r="B50" s="15" t="n">
        <v>20</v>
      </c>
      <c r="C50" s="15" t="s">
        <v>70</v>
      </c>
      <c r="D50" s="14" t="s">
        <v>71</v>
      </c>
      <c r="E50" s="14" t="s">
        <v>45</v>
      </c>
      <c r="F50" s="16" t="n">
        <v>526238</v>
      </c>
      <c r="G50" s="16" t="n">
        <v>1290919</v>
      </c>
      <c r="H50" s="16" t="n">
        <v>639132</v>
      </c>
      <c r="I50" s="16" t="n">
        <v>651787</v>
      </c>
      <c r="J50" s="16" t="n">
        <v>385399</v>
      </c>
      <c r="K50" s="16" t="n">
        <v>184616</v>
      </c>
      <c r="L50" s="16" t="n">
        <v>200783</v>
      </c>
      <c r="M50" s="3" t="n">
        <v>0.0278578290105668</v>
      </c>
      <c r="N50" s="4" t="n">
        <f aca="false">M50*100000</f>
        <v>2785.78290105668</v>
      </c>
      <c r="O50" s="2" t="n">
        <v>167</v>
      </c>
      <c r="P50" s="2" t="n">
        <v>101</v>
      </c>
      <c r="Q50" s="6" t="n">
        <v>268</v>
      </c>
      <c r="R50" s="6" t="n">
        <v>20.76</v>
      </c>
      <c r="S50" s="17" t="n">
        <v>263</v>
      </c>
      <c r="T50" s="18" t="n">
        <f aca="false">(S50/J50)*100000</f>
        <v>68.2409658561647</v>
      </c>
      <c r="U50" s="19" t="n">
        <v>499</v>
      </c>
      <c r="V50" s="19" t="n">
        <v>46</v>
      </c>
      <c r="W50" s="19" t="n">
        <v>91</v>
      </c>
      <c r="X50" s="19" t="n">
        <v>3002</v>
      </c>
      <c r="Y50" s="19" t="n">
        <v>3137</v>
      </c>
      <c r="Z50" s="20" t="n">
        <f aca="false">(Y50/G50)*100000</f>
        <v>243.005176932093</v>
      </c>
      <c r="AA50" s="2" t="n">
        <v>803</v>
      </c>
      <c r="AB50" s="6" t="n">
        <v>175</v>
      </c>
      <c r="AC50" s="4" t="n">
        <f aca="false">(AB50/G50)*100000</f>
        <v>13.5562339697533</v>
      </c>
      <c r="AD50" s="6" t="n">
        <v>2896</v>
      </c>
      <c r="AE50" s="4" t="n">
        <f aca="false">(AD50/G50)*100000</f>
        <v>224.336306150889</v>
      </c>
      <c r="AF50" s="6" t="n">
        <v>607</v>
      </c>
      <c r="AG50" s="6" t="n">
        <v>363</v>
      </c>
      <c r="AH50" s="6" t="n">
        <v>232</v>
      </c>
      <c r="AI50" s="4" t="n">
        <f aca="false">(AH50/G50)*100000</f>
        <v>17.9716930341873</v>
      </c>
      <c r="AJ50" s="5" t="n">
        <f aca="false">Y50/J50</f>
        <v>0.00813961634565736</v>
      </c>
      <c r="AK50" s="2" t="n">
        <f aca="false">(Q50/Y50)*100000</f>
        <v>8543.19413452343</v>
      </c>
      <c r="AL50" s="2" t="n">
        <v>1407</v>
      </c>
      <c r="AM50" s="4" t="n">
        <f aca="false">(AL50/G50)*100000</f>
        <v>108.992121116817</v>
      </c>
      <c r="AN50" s="4" t="n">
        <f aca="false">1105.08-AM50</f>
        <v>996.087878883183</v>
      </c>
      <c r="AO50" s="6" t="n">
        <v>0.897</v>
      </c>
      <c r="AP50" s="6" t="n">
        <v>0.234</v>
      </c>
      <c r="AQ50" s="4" t="n">
        <f aca="false">J50/G50</f>
        <v>0.298546229469084</v>
      </c>
    </row>
    <row r="51" customFormat="false" ht="15" hidden="false" customHeight="false" outlineLevel="0" collapsed="false">
      <c r="A51" s="14" t="n">
        <v>20001</v>
      </c>
      <c r="B51" s="15" t="n">
        <v>20</v>
      </c>
      <c r="C51" s="15" t="s">
        <v>70</v>
      </c>
      <c r="D51" s="14" t="s">
        <v>71</v>
      </c>
      <c r="E51" s="14" t="s">
        <v>46</v>
      </c>
      <c r="F51" s="16" t="n">
        <v>538601</v>
      </c>
      <c r="G51" s="16" t="n">
        <v>1322378</v>
      </c>
      <c r="H51" s="16" t="n">
        <v>654489</v>
      </c>
      <c r="I51" s="16" t="n">
        <v>667889</v>
      </c>
      <c r="J51" s="16" t="n">
        <v>400091</v>
      </c>
      <c r="K51" s="16" t="n">
        <v>191403</v>
      </c>
      <c r="L51" s="16" t="n">
        <v>208688</v>
      </c>
      <c r="M51" s="3" t="n">
        <v>0.0344506517690875</v>
      </c>
      <c r="N51" s="4" t="n">
        <f aca="false">M51*100000</f>
        <v>3445.06517690875</v>
      </c>
      <c r="O51" s="2" t="n">
        <v>151</v>
      </c>
      <c r="P51" s="2" t="n">
        <v>106</v>
      </c>
      <c r="Q51" s="6" t="n">
        <v>257</v>
      </c>
      <c r="R51" s="6" t="n">
        <v>19.43</v>
      </c>
      <c r="S51" s="17" t="n">
        <v>255</v>
      </c>
      <c r="T51" s="18" t="n">
        <f aca="false">(S51/J51)*100000</f>
        <v>63.7355001737105</v>
      </c>
      <c r="U51" s="19" t="n">
        <v>941</v>
      </c>
      <c r="V51" s="19" t="n">
        <v>54</v>
      </c>
      <c r="W51" s="19" t="n">
        <v>74</v>
      </c>
      <c r="X51" s="19" t="n">
        <v>2674</v>
      </c>
      <c r="Y51" s="19" t="n">
        <v>3278</v>
      </c>
      <c r="Z51" s="20" t="n">
        <f aca="false">(Y51/G51)*100000</f>
        <v>247.886761576493</v>
      </c>
      <c r="AA51" s="2" t="n">
        <v>961</v>
      </c>
      <c r="AB51" s="6" t="n">
        <v>237</v>
      </c>
      <c r="AC51" s="4" t="n">
        <f aca="false">(AB51/G51)*100000</f>
        <v>17.9222582347861</v>
      </c>
      <c r="AD51" s="6" t="n">
        <v>2602</v>
      </c>
      <c r="AE51" s="4" t="n">
        <f aca="false">(AD51/G51)*100000</f>
        <v>196.766733868833</v>
      </c>
      <c r="AF51" s="6" t="n">
        <v>1037</v>
      </c>
      <c r="AG51" s="6" t="n">
        <v>167</v>
      </c>
      <c r="AH51" s="6" t="n">
        <v>123</v>
      </c>
      <c r="AI51" s="4" t="n">
        <f aca="false">(AH51/G51)*100000</f>
        <v>9.30142515982571</v>
      </c>
      <c r="AJ51" s="5" t="n">
        <f aca="false">Y51/J51</f>
        <v>0.008193136061546</v>
      </c>
      <c r="AK51" s="2" t="n">
        <f aca="false">(Q51/Y51)*100000</f>
        <v>7840.14643075046</v>
      </c>
      <c r="AL51" s="2" t="n">
        <v>1946</v>
      </c>
      <c r="AM51" s="4" t="n">
        <f aca="false">(AL51/G51)*100000</f>
        <v>147.15913301643</v>
      </c>
      <c r="AN51" s="4" t="n">
        <f aca="false">1105.08-AM51</f>
        <v>957.920866983571</v>
      </c>
      <c r="AO51" s="6" t="n">
        <v>0.692</v>
      </c>
      <c r="AP51" s="6" t="n">
        <v>0.175</v>
      </c>
      <c r="AQ51" s="4" t="n">
        <f aca="false">J51/G51</f>
        <v>0.302554186473157</v>
      </c>
    </row>
    <row r="52" customFormat="false" ht="15" hidden="false" customHeight="false" outlineLevel="0" collapsed="false">
      <c r="A52" s="14" t="n">
        <v>20001</v>
      </c>
      <c r="B52" s="15" t="n">
        <v>20</v>
      </c>
      <c r="C52" s="15" t="s">
        <v>70</v>
      </c>
      <c r="D52" s="14" t="s">
        <v>71</v>
      </c>
      <c r="E52" s="14" t="s">
        <v>47</v>
      </c>
      <c r="F52" s="16" t="n">
        <v>549314</v>
      </c>
      <c r="G52" s="16" t="n">
        <v>1349162</v>
      </c>
      <c r="H52" s="16" t="n">
        <v>667551</v>
      </c>
      <c r="I52" s="16" t="n">
        <v>681611</v>
      </c>
      <c r="J52" s="16" t="n">
        <v>414050</v>
      </c>
      <c r="K52" s="16" t="n">
        <v>197850</v>
      </c>
      <c r="L52" s="16" t="n">
        <v>216200</v>
      </c>
      <c r="M52" s="3" t="n">
        <v>0.0339138405132906</v>
      </c>
      <c r="N52" s="4" t="n">
        <f aca="false">M52*100000</f>
        <v>3391.38405132906</v>
      </c>
      <c r="O52" s="2" t="n">
        <v>154</v>
      </c>
      <c r="P52" s="2" t="n">
        <v>130</v>
      </c>
      <c r="Q52" s="6" t="n">
        <v>284</v>
      </c>
      <c r="R52" s="6" t="n">
        <v>21.05</v>
      </c>
      <c r="S52" s="17" t="n">
        <v>284</v>
      </c>
      <c r="T52" s="18" t="n">
        <f aca="false">(S52/J52)*100000</f>
        <v>68.5907499094312</v>
      </c>
      <c r="U52" s="19" t="n">
        <v>945</v>
      </c>
      <c r="V52" s="19" t="n">
        <v>164</v>
      </c>
      <c r="W52" s="19" t="n">
        <v>113</v>
      </c>
      <c r="X52" s="19" t="n">
        <v>3595</v>
      </c>
      <c r="Y52" s="19" t="n">
        <v>3984</v>
      </c>
      <c r="Z52" s="20" t="n">
        <f aca="false">(Y52/G52)*100000</f>
        <v>295.294412383391</v>
      </c>
      <c r="AA52" s="2" t="n">
        <v>1248</v>
      </c>
      <c r="AB52" s="6" t="n">
        <v>401</v>
      </c>
      <c r="AC52" s="4" t="n">
        <f aca="false">(AB52/G52)*100000</f>
        <v>29.7221534552559</v>
      </c>
      <c r="AD52" s="6" t="n">
        <v>3476</v>
      </c>
      <c r="AE52" s="4" t="n">
        <f aca="false">(AD52/G52)*100000</f>
        <v>257.641410001171</v>
      </c>
      <c r="AF52" s="6" t="n">
        <v>1115</v>
      </c>
      <c r="AG52" s="6" t="n">
        <v>365</v>
      </c>
      <c r="AH52" s="6" t="n">
        <v>302</v>
      </c>
      <c r="AI52" s="4" t="n">
        <f aca="false">(AH52/G52)*100000</f>
        <v>22.3842651957289</v>
      </c>
      <c r="AJ52" s="5" t="n">
        <f aca="false">Y52/J52</f>
        <v>0.00962202632532303</v>
      </c>
      <c r="AK52" s="2" t="n">
        <f aca="false">(Q52/Y52)*100000</f>
        <v>7128.5140562249</v>
      </c>
      <c r="AL52" s="2" t="n">
        <v>2658</v>
      </c>
      <c r="AM52" s="4" t="n">
        <f aca="false">(AL52/G52)*100000</f>
        <v>197.011181755786</v>
      </c>
      <c r="AN52" s="4" t="n">
        <f aca="false">1105.08-AM52</f>
        <v>908.068818244214</v>
      </c>
      <c r="AO52" s="6" t="n">
        <v>0.71</v>
      </c>
      <c r="AP52" s="6" t="n">
        <v>0.133</v>
      </c>
      <c r="AQ52" s="4" t="n">
        <f aca="false">J52/G52</f>
        <v>0.306894205440118</v>
      </c>
    </row>
    <row r="53" customFormat="false" ht="15" hidden="false" customHeight="false" outlineLevel="0" collapsed="false">
      <c r="A53" s="14" t="n">
        <v>20001</v>
      </c>
      <c r="B53" s="15" t="n">
        <v>20</v>
      </c>
      <c r="C53" s="15" t="s">
        <v>70</v>
      </c>
      <c r="D53" s="14" t="s">
        <v>71</v>
      </c>
      <c r="E53" s="14" t="s">
        <v>48</v>
      </c>
      <c r="F53" s="16" t="n">
        <v>558938</v>
      </c>
      <c r="G53" s="16" t="n">
        <v>1373581</v>
      </c>
      <c r="H53" s="16" t="n">
        <v>679578</v>
      </c>
      <c r="I53" s="16" t="n">
        <v>694003</v>
      </c>
      <c r="J53" s="16" t="n">
        <v>428361</v>
      </c>
      <c r="K53" s="16" t="n">
        <v>204551</v>
      </c>
      <c r="L53" s="16" t="n">
        <v>223810</v>
      </c>
      <c r="M53" s="3" t="n">
        <v>0.0352622061482821</v>
      </c>
      <c r="N53" s="4" t="n">
        <f aca="false">M53*100000</f>
        <v>3526.22061482821</v>
      </c>
      <c r="O53" s="2" t="n">
        <v>185</v>
      </c>
      <c r="P53" s="2" t="n">
        <v>130</v>
      </c>
      <c r="Q53" s="6" t="n">
        <v>315</v>
      </c>
      <c r="R53" s="6" t="n">
        <v>22.93</v>
      </c>
      <c r="S53" s="17" t="n">
        <v>314</v>
      </c>
      <c r="T53" s="18" t="n">
        <f aca="false">(S53/J53)*100000</f>
        <v>73.3026582718782</v>
      </c>
      <c r="U53" s="19" t="n">
        <v>685</v>
      </c>
      <c r="V53" s="19" t="n">
        <v>183</v>
      </c>
      <c r="W53" s="19" t="n">
        <v>89</v>
      </c>
      <c r="X53" s="19" t="n">
        <v>3423</v>
      </c>
      <c r="Y53" s="19" t="n">
        <v>3671</v>
      </c>
      <c r="Z53" s="20" t="n">
        <f aca="false">(Y53/G53)*100000</f>
        <v>267.25762805397</v>
      </c>
      <c r="AA53" s="2" t="n">
        <v>1083</v>
      </c>
      <c r="AB53" s="6" t="n">
        <v>234</v>
      </c>
      <c r="AC53" s="4" t="n">
        <f aca="false">(AB53/G53)*100000</f>
        <v>17.0357627253143</v>
      </c>
      <c r="AD53" s="6" t="n">
        <v>3322</v>
      </c>
      <c r="AE53" s="4" t="n">
        <f aca="false">(AD53/G53)*100000</f>
        <v>241.849588775616</v>
      </c>
      <c r="AF53" s="6" t="n">
        <v>869</v>
      </c>
      <c r="AG53" s="6" t="n">
        <v>350</v>
      </c>
      <c r="AH53" s="6" t="n">
        <v>278</v>
      </c>
      <c r="AI53" s="4" t="n">
        <f aca="false">(AH53/G53)*100000</f>
        <v>20.2390685369119</v>
      </c>
      <c r="AJ53" s="5" t="n">
        <f aca="false">Y53/J53</f>
        <v>0.00856987447503391</v>
      </c>
      <c r="AK53" s="2" t="n">
        <f aca="false">(Q53/Y53)*100000</f>
        <v>8580.76818305639</v>
      </c>
      <c r="AL53" s="2" t="n">
        <v>1997</v>
      </c>
      <c r="AM53" s="4" t="n">
        <f aca="false">(AL53/G53)*100000</f>
        <v>145.386402403644</v>
      </c>
      <c r="AN53" s="4" t="n">
        <f aca="false">1105.08-AM53</f>
        <v>959.693597596356</v>
      </c>
      <c r="AO53" s="6" t="n">
        <v>0.777</v>
      </c>
      <c r="AP53" s="6" t="n">
        <v>0.119</v>
      </c>
      <c r="AQ53" s="4" t="n">
        <f aca="false">J53/G53</f>
        <v>0.311857109264033</v>
      </c>
    </row>
    <row r="54" customFormat="false" ht="15" hidden="false" customHeight="false" outlineLevel="0" collapsed="false">
      <c r="A54" s="14" t="n">
        <v>27001</v>
      </c>
      <c r="B54" s="15" t="n">
        <v>27</v>
      </c>
      <c r="C54" s="15" t="s">
        <v>72</v>
      </c>
      <c r="D54" s="14" t="s">
        <v>73</v>
      </c>
      <c r="E54" s="14" t="s">
        <v>45</v>
      </c>
      <c r="F54" s="16" t="n">
        <v>134959</v>
      </c>
      <c r="G54" s="16" t="n">
        <v>562387</v>
      </c>
      <c r="H54" s="16" t="n">
        <v>277787</v>
      </c>
      <c r="I54" s="16" t="n">
        <v>284600</v>
      </c>
      <c r="J54" s="16" t="n">
        <v>148744</v>
      </c>
      <c r="K54" s="16" t="n">
        <v>70166</v>
      </c>
      <c r="L54" s="16" t="n">
        <v>78578</v>
      </c>
      <c r="M54" s="3" t="n">
        <v>0.0234741784037559</v>
      </c>
      <c r="N54" s="4" t="n">
        <f aca="false">M54*100000</f>
        <v>2347.41784037559</v>
      </c>
      <c r="O54" s="2" t="n">
        <v>29</v>
      </c>
      <c r="P54" s="2" t="n">
        <v>24</v>
      </c>
      <c r="Q54" s="6" t="n">
        <v>53</v>
      </c>
      <c r="R54" s="6" t="n">
        <v>9.42</v>
      </c>
      <c r="S54" s="17" t="n">
        <v>48</v>
      </c>
      <c r="T54" s="18" t="n">
        <f aca="false">(S54/J54)*100000</f>
        <v>32.2702092185231</v>
      </c>
      <c r="U54" s="19" t="n">
        <v>137</v>
      </c>
      <c r="V54" s="19" t="n">
        <v>34</v>
      </c>
      <c r="W54" s="19" t="n">
        <v>46</v>
      </c>
      <c r="X54" s="19" t="n">
        <v>455</v>
      </c>
      <c r="Y54" s="19" t="n">
        <v>503</v>
      </c>
      <c r="Z54" s="20" t="n">
        <f aca="false">(Y54/G54)*100000</f>
        <v>89.4401897625656</v>
      </c>
      <c r="AA54" s="2" t="n">
        <v>253</v>
      </c>
      <c r="AB54" s="6" t="n">
        <v>5</v>
      </c>
      <c r="AC54" s="4" t="n">
        <f aca="false">(AB54/G54)*100000</f>
        <v>0.889067492669639</v>
      </c>
      <c r="AD54" s="6" t="n">
        <v>442</v>
      </c>
      <c r="AE54" s="4" t="n">
        <f aca="false">(AD54/G54)*100000</f>
        <v>78.5935663519961</v>
      </c>
      <c r="AF54" s="6" t="n">
        <v>199</v>
      </c>
      <c r="AG54" s="6" t="n">
        <v>110</v>
      </c>
      <c r="AH54" s="6" t="n">
        <v>71</v>
      </c>
      <c r="AI54" s="4" t="n">
        <f aca="false">(AH54/G54)*100000</f>
        <v>12.6247583959089</v>
      </c>
      <c r="AJ54" s="5" t="n">
        <f aca="false">Y54/J54</f>
        <v>0.00338164900769107</v>
      </c>
      <c r="AK54" s="2" t="n">
        <f aca="false">(Q54/Y54)*100000</f>
        <v>10536.7793240557</v>
      </c>
      <c r="AL54" s="2" t="n">
        <v>219</v>
      </c>
      <c r="AM54" s="4" t="n">
        <f aca="false">(AL54/G54)*100000</f>
        <v>38.9411561789302</v>
      </c>
      <c r="AN54" s="4" t="n">
        <f aca="false">1105.08-AM54</f>
        <v>1066.13884382107</v>
      </c>
      <c r="AO54" s="6" t="n">
        <v>0.505</v>
      </c>
      <c r="AP54" s="6" t="n">
        <v>0.517</v>
      </c>
      <c r="AQ54" s="4" t="n">
        <f aca="false">J54/G54</f>
        <v>0.264486910259305</v>
      </c>
    </row>
    <row r="55" customFormat="false" ht="15" hidden="false" customHeight="false" outlineLevel="0" collapsed="false">
      <c r="A55" s="14" t="n">
        <v>27001</v>
      </c>
      <c r="B55" s="15" t="n">
        <v>27</v>
      </c>
      <c r="C55" s="15" t="s">
        <v>72</v>
      </c>
      <c r="D55" s="14" t="s">
        <v>73</v>
      </c>
      <c r="E55" s="14" t="s">
        <v>46</v>
      </c>
      <c r="F55" s="16" t="n">
        <v>137257</v>
      </c>
      <c r="G55" s="16" t="n">
        <v>573848</v>
      </c>
      <c r="H55" s="16" t="n">
        <v>283374</v>
      </c>
      <c r="I55" s="16" t="n">
        <v>290474</v>
      </c>
      <c r="J55" s="16" t="n">
        <v>154349</v>
      </c>
      <c r="K55" s="16" t="n">
        <v>72837</v>
      </c>
      <c r="L55" s="16" t="n">
        <v>81512</v>
      </c>
      <c r="M55" s="3" t="n">
        <v>0.0580046403712297</v>
      </c>
      <c r="N55" s="4" t="n">
        <f aca="false">M55*100000</f>
        <v>5800.46403712297</v>
      </c>
      <c r="O55" s="2" t="n">
        <v>25</v>
      </c>
      <c r="P55" s="2" t="n">
        <v>30</v>
      </c>
      <c r="Q55" s="6" t="n">
        <v>55</v>
      </c>
      <c r="R55" s="6" t="n">
        <v>9.58</v>
      </c>
      <c r="S55" s="17" t="n">
        <v>54</v>
      </c>
      <c r="T55" s="18" t="n">
        <f aca="false">(S55/J55)*100000</f>
        <v>34.98564940492</v>
      </c>
      <c r="U55" s="19" t="n">
        <v>124</v>
      </c>
      <c r="V55" s="19" t="n">
        <v>26</v>
      </c>
      <c r="W55" s="19" t="n">
        <v>55</v>
      </c>
      <c r="X55" s="19" t="n">
        <v>426</v>
      </c>
      <c r="Y55" s="19" t="n">
        <v>474</v>
      </c>
      <c r="Z55" s="20" t="n">
        <f aca="false">(Y55/G55)*100000</f>
        <v>82.600270454894</v>
      </c>
      <c r="AA55" s="2" t="n">
        <v>188</v>
      </c>
      <c r="AB55" s="6" t="n">
        <v>8</v>
      </c>
      <c r="AC55" s="4" t="n">
        <f aca="false">(AB55/G55)*100000</f>
        <v>1.39409739164378</v>
      </c>
      <c r="AD55" s="6" t="n">
        <v>417</v>
      </c>
      <c r="AE55" s="4" t="n">
        <f aca="false">(AD55/G55)*100000</f>
        <v>72.667326539432</v>
      </c>
      <c r="AF55" s="6" t="n">
        <v>189</v>
      </c>
      <c r="AG55" s="6" t="n">
        <v>78</v>
      </c>
      <c r="AH55" s="6" t="n">
        <v>53</v>
      </c>
      <c r="AI55" s="4" t="n">
        <f aca="false">(AH55/G55)*100000</f>
        <v>9.23589521964004</v>
      </c>
      <c r="AJ55" s="5" t="n">
        <f aca="false">Y55/J55</f>
        <v>0.00307096255887631</v>
      </c>
      <c r="AK55" s="2" t="n">
        <f aca="false">(Q55/Y55)*100000</f>
        <v>11603.3755274262</v>
      </c>
      <c r="AL55" s="2" t="n">
        <v>242</v>
      </c>
      <c r="AM55" s="4" t="n">
        <f aca="false">(AL55/G55)*100000</f>
        <v>42.1714460972244</v>
      </c>
      <c r="AN55" s="4" t="n">
        <f aca="false">1105.08-AM55</f>
        <v>1062.90855390278</v>
      </c>
      <c r="AO55" s="6" t="n">
        <v>0.946</v>
      </c>
      <c r="AP55" s="6" t="n">
        <v>0.487</v>
      </c>
      <c r="AQ55" s="4" t="n">
        <f aca="false">J55/G55</f>
        <v>0.268971922878532</v>
      </c>
    </row>
    <row r="56" customFormat="false" ht="15" hidden="false" customHeight="false" outlineLevel="0" collapsed="false">
      <c r="A56" s="14" t="n">
        <v>27001</v>
      </c>
      <c r="B56" s="15" t="n">
        <v>27</v>
      </c>
      <c r="C56" s="15" t="s">
        <v>72</v>
      </c>
      <c r="D56" s="14" t="s">
        <v>73</v>
      </c>
      <c r="E56" s="14" t="s">
        <v>47</v>
      </c>
      <c r="F56" s="16" t="n">
        <v>139740</v>
      </c>
      <c r="G56" s="16" t="n">
        <v>584521</v>
      </c>
      <c r="H56" s="16" t="n">
        <v>288569</v>
      </c>
      <c r="I56" s="16" t="n">
        <v>295952</v>
      </c>
      <c r="J56" s="16" t="n">
        <v>160211</v>
      </c>
      <c r="K56" s="16" t="n">
        <v>75660</v>
      </c>
      <c r="L56" s="16" t="n">
        <v>84551</v>
      </c>
      <c r="M56" s="3" t="n">
        <v>0.0272727272727273</v>
      </c>
      <c r="N56" s="4" t="n">
        <f aca="false">M56*100000</f>
        <v>2727.27272727273</v>
      </c>
      <c r="O56" s="2" t="n">
        <v>35</v>
      </c>
      <c r="P56" s="2" t="n">
        <v>25</v>
      </c>
      <c r="Q56" s="6" t="n">
        <v>60</v>
      </c>
      <c r="R56" s="6" t="n">
        <v>10.26</v>
      </c>
      <c r="S56" s="17" t="n">
        <v>58</v>
      </c>
      <c r="T56" s="18" t="n">
        <f aca="false">(S56/J56)*100000</f>
        <v>36.2022582719039</v>
      </c>
      <c r="U56" s="19" t="n">
        <v>138</v>
      </c>
      <c r="V56" s="19" t="n">
        <v>51</v>
      </c>
      <c r="W56" s="19" t="n">
        <v>94</v>
      </c>
      <c r="X56" s="19" t="n">
        <v>3388</v>
      </c>
      <c r="Y56" s="19" t="n">
        <v>3434</v>
      </c>
      <c r="Z56" s="20" t="n">
        <f aca="false">(Y56/G56)*100000</f>
        <v>587.489585489657</v>
      </c>
      <c r="AA56" s="2" t="n">
        <v>263</v>
      </c>
      <c r="AB56" s="6" t="n">
        <v>9</v>
      </c>
      <c r="AC56" s="4" t="n">
        <f aca="false">(AB56/G56)*100000</f>
        <v>1.53972226831885</v>
      </c>
      <c r="AD56" s="6" t="n">
        <v>3373</v>
      </c>
      <c r="AE56" s="4" t="n">
        <f aca="false">(AD56/G56)*100000</f>
        <v>577.053690115496</v>
      </c>
      <c r="AF56" s="6" t="n">
        <v>251</v>
      </c>
      <c r="AG56" s="6" t="n">
        <v>104</v>
      </c>
      <c r="AH56" s="6" t="n">
        <v>74</v>
      </c>
      <c r="AI56" s="4" t="n">
        <f aca="false">(AH56/G56)*100000</f>
        <v>12.6599386506216</v>
      </c>
      <c r="AJ56" s="5" t="n">
        <f aca="false">Y56/J56</f>
        <v>0.0214342336044342</v>
      </c>
      <c r="AK56" s="2" t="n">
        <f aca="false">(Q56/Y56)*100000</f>
        <v>1747.2335468841</v>
      </c>
      <c r="AL56" s="2" t="n">
        <v>194</v>
      </c>
      <c r="AM56" s="4" t="n">
        <f aca="false">(AL56/G56)*100000</f>
        <v>33.1895688948729</v>
      </c>
      <c r="AN56" s="4" t="n">
        <f aca="false">1105.08-AM56</f>
        <v>1071.89043110513</v>
      </c>
      <c r="AO56" s="6" t="n">
        <v>0.962</v>
      </c>
      <c r="AP56" s="6" t="n">
        <v>0.429</v>
      </c>
      <c r="AQ56" s="4" t="n">
        <f aca="false">J56/G56</f>
        <v>0.274089382588478</v>
      </c>
    </row>
    <row r="57" customFormat="false" ht="15" hidden="false" customHeight="false" outlineLevel="0" collapsed="false">
      <c r="A57" s="14" t="n">
        <v>27001</v>
      </c>
      <c r="B57" s="15" t="n">
        <v>27</v>
      </c>
      <c r="C57" s="15" t="s">
        <v>72</v>
      </c>
      <c r="D57" s="14" t="s">
        <v>73</v>
      </c>
      <c r="E57" s="14" t="s">
        <v>48</v>
      </c>
      <c r="F57" s="16" t="n">
        <v>142184</v>
      </c>
      <c r="G57" s="16" t="n">
        <v>595138</v>
      </c>
      <c r="H57" s="16" t="n">
        <v>293776</v>
      </c>
      <c r="I57" s="16" t="n">
        <v>301362</v>
      </c>
      <c r="J57" s="16" t="n">
        <v>166387</v>
      </c>
      <c r="K57" s="16" t="n">
        <v>78644</v>
      </c>
      <c r="L57" s="16" t="n">
        <v>87743</v>
      </c>
      <c r="M57" s="3" t="n">
        <v>0.015695067264574</v>
      </c>
      <c r="N57" s="4" t="n">
        <f aca="false">M57*100000</f>
        <v>1569.5067264574</v>
      </c>
      <c r="O57" s="2" t="n">
        <v>49</v>
      </c>
      <c r="P57" s="2" t="n">
        <v>38</v>
      </c>
      <c r="Q57" s="6" t="n">
        <v>87</v>
      </c>
      <c r="R57" s="6" t="n">
        <v>14.62</v>
      </c>
      <c r="S57" s="17" t="n">
        <v>85</v>
      </c>
      <c r="T57" s="18" t="n">
        <f aca="false">(S57/J57)*100000</f>
        <v>51.0857218412496</v>
      </c>
      <c r="U57" s="19" t="n">
        <v>127</v>
      </c>
      <c r="V57" s="19" t="n">
        <v>61</v>
      </c>
      <c r="W57" s="19" t="n">
        <v>81</v>
      </c>
      <c r="X57" s="19" t="n">
        <v>3697</v>
      </c>
      <c r="Y57" s="19" t="n">
        <v>3742</v>
      </c>
      <c r="Z57" s="20" t="n">
        <f aca="false">(Y57/G57)*100000</f>
        <v>628.761732572949</v>
      </c>
      <c r="AA57" s="2" t="n">
        <v>246</v>
      </c>
      <c r="AB57" s="6" t="n">
        <v>6</v>
      </c>
      <c r="AC57" s="4" t="n">
        <f aca="false">(AB57/G57)*100000</f>
        <v>1.0081695337888</v>
      </c>
      <c r="AD57" s="6" t="n">
        <v>3681</v>
      </c>
      <c r="AE57" s="4" t="n">
        <f aca="false">(AD57/G57)*100000</f>
        <v>618.51200897943</v>
      </c>
      <c r="AF57" s="6" t="n">
        <v>230</v>
      </c>
      <c r="AG57" s="6" t="n">
        <v>112</v>
      </c>
      <c r="AH57" s="6" t="n">
        <v>89</v>
      </c>
      <c r="AI57" s="4" t="n">
        <f aca="false">(AH57/G57)*100000</f>
        <v>14.9545147512006</v>
      </c>
      <c r="AJ57" s="5" t="n">
        <f aca="false">Y57/J57</f>
        <v>0.0224897377799948</v>
      </c>
      <c r="AK57" s="2" t="n">
        <f aca="false">(Q57/Y57)*100000</f>
        <v>2324.95991448423</v>
      </c>
      <c r="AL57" s="2" t="n">
        <v>190</v>
      </c>
      <c r="AM57" s="4" t="n">
        <f aca="false">(AL57/G57)*100000</f>
        <v>31.9253685699787</v>
      </c>
      <c r="AN57" s="4" t="n">
        <f aca="false">1105.08-AM57</f>
        <v>1073.15463143002</v>
      </c>
      <c r="AO57" s="6" t="n">
        <v>0.971</v>
      </c>
      <c r="AP57" s="6" t="n">
        <v>0.426</v>
      </c>
      <c r="AQ57" s="4" t="n">
        <f aca="false">J57/G57</f>
        <v>0.279577173697529</v>
      </c>
    </row>
    <row r="58" customFormat="false" ht="15" hidden="false" customHeight="false" outlineLevel="0" collapsed="false">
      <c r="A58" s="14" t="n">
        <v>23001</v>
      </c>
      <c r="B58" s="15" t="n">
        <v>23</v>
      </c>
      <c r="C58" s="15" t="s">
        <v>74</v>
      </c>
      <c r="D58" s="14" t="s">
        <v>75</v>
      </c>
      <c r="E58" s="14" t="s">
        <v>45</v>
      </c>
      <c r="F58" s="16" t="n">
        <v>507463</v>
      </c>
      <c r="G58" s="16" t="n">
        <v>1842585</v>
      </c>
      <c r="H58" s="16" t="n">
        <v>916909</v>
      </c>
      <c r="I58" s="16" t="n">
        <v>925676</v>
      </c>
      <c r="J58" s="16" t="n">
        <v>645700</v>
      </c>
      <c r="K58" s="16" t="n">
        <v>315633</v>
      </c>
      <c r="L58" s="16" t="n">
        <v>330067</v>
      </c>
      <c r="M58" s="3" t="n">
        <v>0.0159045725646123</v>
      </c>
      <c r="N58" s="4" t="n">
        <f aca="false">M58*100000</f>
        <v>1590.45725646123</v>
      </c>
      <c r="O58" s="2" t="n">
        <v>182</v>
      </c>
      <c r="P58" s="2" t="n">
        <v>127</v>
      </c>
      <c r="Q58" s="6" t="n">
        <v>309</v>
      </c>
      <c r="R58" s="6" t="n">
        <v>16.77</v>
      </c>
      <c r="S58" s="17" t="n">
        <v>306</v>
      </c>
      <c r="T58" s="18" t="n">
        <f aca="false">(S58/J58)*100000</f>
        <v>47.3904289917919</v>
      </c>
      <c r="U58" s="19" t="n">
        <v>821</v>
      </c>
      <c r="V58" s="19" t="n">
        <v>161</v>
      </c>
      <c r="W58" s="19" t="n">
        <v>332</v>
      </c>
      <c r="X58" s="19" t="n">
        <v>3420</v>
      </c>
      <c r="Y58" s="19" t="n">
        <v>3776</v>
      </c>
      <c r="Z58" s="20" t="n">
        <f aca="false">(Y58/G58)*100000</f>
        <v>204.929487649145</v>
      </c>
      <c r="AA58" s="2" t="n">
        <v>1707</v>
      </c>
      <c r="AB58" s="6" t="n">
        <v>154</v>
      </c>
      <c r="AC58" s="4" t="n">
        <f aca="false">(AB58/G58)*100000</f>
        <v>8.35782338399585</v>
      </c>
      <c r="AD58" s="6" t="n">
        <v>3307</v>
      </c>
      <c r="AE58" s="4" t="n">
        <f aca="false">(AD58/G58)*100000</f>
        <v>179.476116434249</v>
      </c>
      <c r="AF58" s="6" t="n">
        <v>1203</v>
      </c>
      <c r="AG58" s="6" t="n">
        <v>605</v>
      </c>
      <c r="AH58" s="6" t="n">
        <v>293</v>
      </c>
      <c r="AI58" s="4" t="n">
        <f aca="false">(AH58/G58)*100000</f>
        <v>15.9015730617583</v>
      </c>
      <c r="AJ58" s="5" t="n">
        <f aca="false">Y58/J58</f>
        <v>0.00584791698931392</v>
      </c>
      <c r="AK58" s="2" t="n">
        <f aca="false">(Q58/Y58)*100000</f>
        <v>8183.26271186441</v>
      </c>
      <c r="AL58" s="2" t="n">
        <v>881</v>
      </c>
      <c r="AM58" s="4" t="n">
        <f aca="false">(AL58/G58)*100000</f>
        <v>47.8132623461062</v>
      </c>
      <c r="AN58" s="4" t="n">
        <f aca="false">1105.08-AM58</f>
        <v>1057.26673765389</v>
      </c>
      <c r="AO58" s="6" t="n">
        <v>0.827</v>
      </c>
      <c r="AP58" s="6" t="n">
        <v>0.334</v>
      </c>
      <c r="AQ58" s="4" t="n">
        <f aca="false">J58/G58</f>
        <v>0.350431594743255</v>
      </c>
    </row>
    <row r="59" customFormat="false" ht="15" hidden="false" customHeight="false" outlineLevel="0" collapsed="false">
      <c r="A59" s="14" t="n">
        <v>23001</v>
      </c>
      <c r="B59" s="15" t="n">
        <v>23</v>
      </c>
      <c r="C59" s="15" t="s">
        <v>74</v>
      </c>
      <c r="D59" s="14" t="s">
        <v>75</v>
      </c>
      <c r="E59" s="14" t="s">
        <v>46</v>
      </c>
      <c r="F59" s="16" t="n">
        <v>513732</v>
      </c>
      <c r="G59" s="16" t="n">
        <v>1864336</v>
      </c>
      <c r="H59" s="16" t="n">
        <v>927223</v>
      </c>
      <c r="I59" s="16" t="n">
        <v>937113</v>
      </c>
      <c r="J59" s="16" t="n">
        <v>660400</v>
      </c>
      <c r="K59" s="16" t="n">
        <v>321988</v>
      </c>
      <c r="L59" s="16" t="n">
        <v>338412</v>
      </c>
      <c r="M59" s="3" t="n">
        <v>0.125328083989501</v>
      </c>
      <c r="N59" s="4" t="n">
        <f aca="false">M59*100000</f>
        <v>12532.8083989501</v>
      </c>
      <c r="O59" s="2" t="n">
        <v>138</v>
      </c>
      <c r="P59" s="2" t="n">
        <v>114</v>
      </c>
      <c r="Q59" s="6" t="n">
        <v>252</v>
      </c>
      <c r="R59" s="6" t="n">
        <v>13.52</v>
      </c>
      <c r="S59" s="17" t="n">
        <v>252</v>
      </c>
      <c r="T59" s="18" t="n">
        <f aca="false">(S59/J59)*100000</f>
        <v>38.1586917019988</v>
      </c>
      <c r="U59" s="19" t="n">
        <v>870</v>
      </c>
      <c r="V59" s="19" t="n">
        <v>139</v>
      </c>
      <c r="W59" s="19" t="n">
        <v>140</v>
      </c>
      <c r="X59" s="19" t="n">
        <v>3236</v>
      </c>
      <c r="Y59" s="19" t="n">
        <v>3503</v>
      </c>
      <c r="Z59" s="20" t="n">
        <f aca="false">(Y59/G59)*100000</f>
        <v>187.895315007595</v>
      </c>
      <c r="AA59" s="2" t="n">
        <v>1602</v>
      </c>
      <c r="AB59" s="6" t="n">
        <v>237</v>
      </c>
      <c r="AC59" s="4" t="n">
        <f aca="false">(AB59/G59)*100000</f>
        <v>12.7123007869826</v>
      </c>
      <c r="AD59" s="6" t="n">
        <v>3150</v>
      </c>
      <c r="AE59" s="4" t="n">
        <f aca="false">(AD59/G59)*100000</f>
        <v>168.960959826984</v>
      </c>
      <c r="AF59" s="6" t="n">
        <v>1086</v>
      </c>
      <c r="AG59" s="6" t="n">
        <v>393</v>
      </c>
      <c r="AH59" s="6" t="n">
        <v>198</v>
      </c>
      <c r="AI59" s="4" t="n">
        <f aca="false">(AH59/G59)*100000</f>
        <v>10.6204031891247</v>
      </c>
      <c r="AJ59" s="5" t="n">
        <f aca="false">Y59/J59</f>
        <v>0.00530436099333737</v>
      </c>
      <c r="AK59" s="2" t="n">
        <f aca="false">(Q59/Y59)*100000</f>
        <v>7193.83385669426</v>
      </c>
      <c r="AL59" s="2" t="n">
        <v>1311</v>
      </c>
      <c r="AM59" s="4" t="n">
        <f aca="false">(AL59/G59)*100000</f>
        <v>70.3199423279924</v>
      </c>
      <c r="AN59" s="4" t="n">
        <f aca="false">1105.08-AM59</f>
        <v>1034.76005767201</v>
      </c>
      <c r="AO59" s="6" t="n">
        <v>0.749</v>
      </c>
      <c r="AP59" s="6" t="n">
        <v>0.324</v>
      </c>
      <c r="AQ59" s="4" t="n">
        <f aca="false">J59/G59</f>
        <v>0.354227993237271</v>
      </c>
    </row>
    <row r="60" customFormat="false" ht="15" hidden="false" customHeight="false" outlineLevel="0" collapsed="false">
      <c r="A60" s="14" t="n">
        <v>23001</v>
      </c>
      <c r="B60" s="15" t="n">
        <v>23</v>
      </c>
      <c r="C60" s="15" t="s">
        <v>74</v>
      </c>
      <c r="D60" s="14" t="s">
        <v>75</v>
      </c>
      <c r="E60" s="14" t="s">
        <v>47</v>
      </c>
      <c r="F60" s="16" t="n">
        <v>518608</v>
      </c>
      <c r="G60" s="16" t="n">
        <v>1882211</v>
      </c>
      <c r="H60" s="16" t="n">
        <v>935690</v>
      </c>
      <c r="I60" s="16" t="n">
        <v>946521</v>
      </c>
      <c r="J60" s="16" t="n">
        <v>674932</v>
      </c>
      <c r="K60" s="16" t="n">
        <v>328361</v>
      </c>
      <c r="L60" s="16" t="n">
        <v>346571</v>
      </c>
      <c r="M60" s="3" t="n">
        <v>0.0240728692257645</v>
      </c>
      <c r="N60" s="4" t="n">
        <f aca="false">M60*100000</f>
        <v>2407.28692257645</v>
      </c>
      <c r="O60" s="2" t="n">
        <v>223</v>
      </c>
      <c r="P60" s="2" t="n">
        <v>221</v>
      </c>
      <c r="Q60" s="6" t="n">
        <v>444</v>
      </c>
      <c r="R60" s="6" t="n">
        <v>23.59</v>
      </c>
      <c r="S60" s="17" t="n">
        <v>442</v>
      </c>
      <c r="T60" s="18" t="n">
        <f aca="false">(S60/J60)*100000</f>
        <v>65.4880787990494</v>
      </c>
      <c r="U60" s="19" t="n">
        <v>1408</v>
      </c>
      <c r="V60" s="19" t="n">
        <v>368</v>
      </c>
      <c r="W60" s="19" t="n">
        <v>273</v>
      </c>
      <c r="X60" s="19" t="n">
        <v>4275</v>
      </c>
      <c r="Y60" s="19" t="n">
        <v>4655</v>
      </c>
      <c r="Z60" s="20" t="n">
        <f aca="false">(Y60/G60)*100000</f>
        <v>247.315524136242</v>
      </c>
      <c r="AA60" s="2" t="n">
        <v>2083</v>
      </c>
      <c r="AB60" s="6" t="n">
        <v>312</v>
      </c>
      <c r="AC60" s="4" t="n">
        <f aca="false">(AB60/G60)*100000</f>
        <v>16.576249952848</v>
      </c>
      <c r="AD60" s="6" t="n">
        <v>4097</v>
      </c>
      <c r="AE60" s="4" t="n">
        <f aca="false">(AD60/G60)*100000</f>
        <v>217.669538643648</v>
      </c>
      <c r="AF60" s="6" t="n">
        <v>1871</v>
      </c>
      <c r="AG60" s="6" t="n">
        <v>622</v>
      </c>
      <c r="AH60" s="6" t="n">
        <v>500</v>
      </c>
      <c r="AI60" s="4" t="n">
        <f aca="false">(AH60/G60)*100000</f>
        <v>26.5645031295641</v>
      </c>
      <c r="AJ60" s="5" t="n">
        <f aca="false">Y60/J60</f>
        <v>0.00689699110428902</v>
      </c>
      <c r="AK60" s="2" t="n">
        <f aca="false">(Q60/Y60)*100000</f>
        <v>9538.13104189044</v>
      </c>
      <c r="AL60" s="2" t="n">
        <v>2219</v>
      </c>
      <c r="AM60" s="4" t="n">
        <f aca="false">(AL60/G60)*100000</f>
        <v>117.893264889006</v>
      </c>
      <c r="AN60" s="4" t="n">
        <f aca="false">1105.08-AM60</f>
        <v>987.186735110994</v>
      </c>
      <c r="AO60" s="6" t="n">
        <v>0.78</v>
      </c>
      <c r="AP60" s="6" t="n">
        <v>0.23</v>
      </c>
      <c r="AQ60" s="4" t="n">
        <f aca="false">J60/G60</f>
        <v>0.358584664524859</v>
      </c>
    </row>
    <row r="61" customFormat="false" ht="15" hidden="false" customHeight="false" outlineLevel="0" collapsed="false">
      <c r="A61" s="14" t="n">
        <v>23001</v>
      </c>
      <c r="B61" s="15" t="n">
        <v>23</v>
      </c>
      <c r="C61" s="15" t="s">
        <v>74</v>
      </c>
      <c r="D61" s="14" t="s">
        <v>75</v>
      </c>
      <c r="E61" s="14" t="s">
        <v>48</v>
      </c>
      <c r="F61" s="16" t="n">
        <v>523150</v>
      </c>
      <c r="G61" s="16" t="n">
        <v>1898911</v>
      </c>
      <c r="H61" s="16" t="n">
        <v>943703</v>
      </c>
      <c r="I61" s="16" t="n">
        <v>955208</v>
      </c>
      <c r="J61" s="16" t="n">
        <v>690063</v>
      </c>
      <c r="K61" s="16" t="n">
        <v>335143</v>
      </c>
      <c r="L61" s="16" t="n">
        <v>354920</v>
      </c>
      <c r="M61" s="3" t="n">
        <v>0.0269576379974326</v>
      </c>
      <c r="N61" s="4" t="n">
        <f aca="false">M61*100000</f>
        <v>2695.76379974326</v>
      </c>
      <c r="O61" s="2" t="n">
        <v>247</v>
      </c>
      <c r="P61" s="2" t="n">
        <v>224</v>
      </c>
      <c r="Q61" s="6" t="n">
        <v>471</v>
      </c>
      <c r="R61" s="6" t="n">
        <v>24.8</v>
      </c>
      <c r="S61" s="17" t="n">
        <v>469</v>
      </c>
      <c r="T61" s="18" t="n">
        <f aca="false">(S61/J61)*100000</f>
        <v>67.9648090101918</v>
      </c>
      <c r="U61" s="19" t="n">
        <v>900</v>
      </c>
      <c r="V61" s="19" t="n">
        <v>379</v>
      </c>
      <c r="W61" s="19" t="n">
        <v>386</v>
      </c>
      <c r="X61" s="19" t="n">
        <v>3417</v>
      </c>
      <c r="Y61" s="19" t="n">
        <v>3706</v>
      </c>
      <c r="Z61" s="20" t="n">
        <f aca="false">(Y61/G61)*100000</f>
        <v>195.164491648108</v>
      </c>
      <c r="AA61" s="2" t="n">
        <v>1339</v>
      </c>
      <c r="AB61" s="6" t="n">
        <v>248</v>
      </c>
      <c r="AC61" s="4" t="n">
        <f aca="false">(AB61/G61)*100000</f>
        <v>13.0601170881626</v>
      </c>
      <c r="AD61" s="6" t="n">
        <v>3275</v>
      </c>
      <c r="AE61" s="4" t="n">
        <f aca="false">(AD61/G61)*100000</f>
        <v>172.46727203118</v>
      </c>
      <c r="AF61" s="6" t="n">
        <v>1443</v>
      </c>
      <c r="AG61" s="6" t="n">
        <v>610</v>
      </c>
      <c r="AH61" s="6" t="n">
        <v>431</v>
      </c>
      <c r="AI61" s="4" t="n">
        <f aca="false">(AH61/G61)*100000</f>
        <v>22.6972196169278</v>
      </c>
      <c r="AJ61" s="5" t="n">
        <f aca="false">Y61/J61</f>
        <v>0.00537052414054949</v>
      </c>
      <c r="AK61" s="2" t="n">
        <f aca="false">(Q61/Y61)*100000</f>
        <v>12709.1203453859</v>
      </c>
      <c r="AL61" s="2" t="n">
        <v>1633</v>
      </c>
      <c r="AM61" s="4" t="n">
        <f aca="false">(AL61/G61)*100000</f>
        <v>85.9966580845548</v>
      </c>
      <c r="AN61" s="4" t="n">
        <f aca="false">1105.08-AM61</f>
        <v>1019.08334191545</v>
      </c>
      <c r="AO61" s="6" t="n">
        <v>0.74</v>
      </c>
      <c r="AP61" s="6" t="n">
        <v>0.214</v>
      </c>
      <c r="AQ61" s="4" t="n">
        <f aca="false">J61/G61</f>
        <v>0.363399337830999</v>
      </c>
    </row>
    <row r="62" customFormat="false" ht="15" hidden="false" customHeight="false" outlineLevel="0" collapsed="false">
      <c r="A62" s="14" t="n">
        <v>25001</v>
      </c>
      <c r="B62" s="15" t="n">
        <v>25</v>
      </c>
      <c r="C62" s="15" t="s">
        <v>76</v>
      </c>
      <c r="D62" s="14" t="s">
        <v>76</v>
      </c>
      <c r="E62" s="14" t="s">
        <v>45</v>
      </c>
      <c r="F62" s="16" t="n">
        <v>12497</v>
      </c>
      <c r="G62" s="16" t="n">
        <v>3147954</v>
      </c>
      <c r="H62" s="16" t="n">
        <v>1555059</v>
      </c>
      <c r="I62" s="16" t="n">
        <v>1592895</v>
      </c>
      <c r="J62" s="16" t="n">
        <v>1182249</v>
      </c>
      <c r="K62" s="16" t="n">
        <v>562379</v>
      </c>
      <c r="L62" s="16" t="n">
        <v>619870</v>
      </c>
      <c r="M62" s="3" t="n">
        <v>0.0611229566453447</v>
      </c>
      <c r="N62" s="4" t="n">
        <f aca="false">M62*100000</f>
        <v>6112.29566453447</v>
      </c>
      <c r="O62" s="2" t="n">
        <v>529</v>
      </c>
      <c r="P62" s="2" t="n">
        <v>410</v>
      </c>
      <c r="Q62" s="6" t="n">
        <v>939</v>
      </c>
      <c r="R62" s="6" t="n">
        <v>29.83</v>
      </c>
      <c r="S62" s="17" t="n">
        <v>933</v>
      </c>
      <c r="T62" s="18" t="n">
        <f aca="false">(S62/J62)*100000</f>
        <v>78.9173854238828</v>
      </c>
      <c r="U62" s="19" t="n">
        <v>3126</v>
      </c>
      <c r="V62" s="19" t="n">
        <v>435</v>
      </c>
      <c r="W62" s="19" t="n">
        <v>451</v>
      </c>
      <c r="X62" s="19" t="n">
        <v>14783</v>
      </c>
      <c r="Y62" s="19" t="n">
        <v>16049</v>
      </c>
      <c r="Z62" s="20" t="n">
        <f aca="false">(Y62/G62)*100000</f>
        <v>509.82320580288</v>
      </c>
      <c r="AA62" s="2" t="n">
        <v>4651</v>
      </c>
      <c r="AB62" s="6" t="n">
        <v>750</v>
      </c>
      <c r="AC62" s="4" t="n">
        <f aca="false">(AB62/G62)*100000</f>
        <v>23.8249987134501</v>
      </c>
      <c r="AD62" s="6" t="n">
        <v>14266</v>
      </c>
      <c r="AE62" s="4" t="n">
        <f aca="false">(AD62/G62)*100000</f>
        <v>453.183242194772</v>
      </c>
      <c r="AF62" s="6" t="n">
        <v>3853</v>
      </c>
      <c r="AG62" s="6" t="n">
        <v>1481</v>
      </c>
      <c r="AH62" s="6" t="n">
        <v>1173</v>
      </c>
      <c r="AI62" s="4" t="n">
        <f aca="false">(AH62/G62)*100000</f>
        <v>37.2622979878359</v>
      </c>
      <c r="AJ62" s="5" t="n">
        <f aca="false">Y62/J62</f>
        <v>0.013574974476612</v>
      </c>
      <c r="AK62" s="2" t="n">
        <f aca="false">(Q62/Y62)*100000</f>
        <v>5850.83182752819</v>
      </c>
      <c r="AL62" s="2" t="n">
        <v>3069</v>
      </c>
      <c r="AM62" s="4" t="n">
        <f aca="false">(AL62/G62)*100000</f>
        <v>97.4918947354377</v>
      </c>
      <c r="AN62" s="4" t="n">
        <f aca="false">1105.08-AM62</f>
        <v>1007.58810526456</v>
      </c>
      <c r="AO62" s="6" t="n">
        <v>0.918</v>
      </c>
      <c r="AP62" s="6" t="n">
        <v>0.141</v>
      </c>
      <c r="AQ62" s="4" t="n">
        <f aca="false">J62/G62</f>
        <v>0.375561078719702</v>
      </c>
    </row>
    <row r="63" customFormat="false" ht="15" hidden="false" customHeight="false" outlineLevel="0" collapsed="false">
      <c r="A63" s="14" t="n">
        <v>25001</v>
      </c>
      <c r="B63" s="15" t="n">
        <v>25</v>
      </c>
      <c r="C63" s="15" t="s">
        <v>76</v>
      </c>
      <c r="D63" s="14" t="s">
        <v>76</v>
      </c>
      <c r="E63" s="14" t="s">
        <v>46</v>
      </c>
      <c r="F63" s="16" t="n">
        <v>12771</v>
      </c>
      <c r="G63" s="16" t="n">
        <v>3233689</v>
      </c>
      <c r="H63" s="16" t="n">
        <v>1596732</v>
      </c>
      <c r="I63" s="16" t="n">
        <v>1636957</v>
      </c>
      <c r="J63" s="16" t="n">
        <v>1228420</v>
      </c>
      <c r="K63" s="16" t="n">
        <v>583643</v>
      </c>
      <c r="L63" s="16" t="n">
        <v>644777</v>
      </c>
      <c r="M63" s="3" t="n">
        <v>0.00308219178082192</v>
      </c>
      <c r="N63" s="4" t="n">
        <f aca="false">M63*100000</f>
        <v>308.219178082192</v>
      </c>
      <c r="O63" s="2" t="n">
        <v>442</v>
      </c>
      <c r="P63" s="2" t="n">
        <v>390</v>
      </c>
      <c r="Q63" s="6" t="n">
        <v>832</v>
      </c>
      <c r="R63" s="6" t="n">
        <v>25.73</v>
      </c>
      <c r="S63" s="17" t="n">
        <v>824</v>
      </c>
      <c r="T63" s="18" t="n">
        <f aca="false">(S63/J63)*100000</f>
        <v>67.0780351996874</v>
      </c>
      <c r="U63" s="19" t="n">
        <v>3294</v>
      </c>
      <c r="V63" s="19" t="n">
        <v>380</v>
      </c>
      <c r="W63" s="19" t="n">
        <v>297</v>
      </c>
      <c r="X63" s="19" t="n">
        <v>12634</v>
      </c>
      <c r="Y63" s="19" t="n">
        <v>14055</v>
      </c>
      <c r="Z63" s="20" t="n">
        <f aca="false">(Y63/G63)*100000</f>
        <v>434.642910929282</v>
      </c>
      <c r="AA63" s="2" t="n">
        <v>3659</v>
      </c>
      <c r="AB63" s="6" t="n">
        <v>600</v>
      </c>
      <c r="AC63" s="4" t="n">
        <f aca="false">(AB63/G63)*100000</f>
        <v>18.5546600183258</v>
      </c>
      <c r="AD63" s="6" t="n">
        <v>12286</v>
      </c>
      <c r="AE63" s="4" t="n">
        <f aca="false">(AD63/G63)*100000</f>
        <v>379.937588308585</v>
      </c>
      <c r="AF63" s="6" t="n">
        <v>3819</v>
      </c>
      <c r="AG63" s="6" t="n">
        <v>1145</v>
      </c>
      <c r="AH63" s="6" t="n">
        <v>906</v>
      </c>
      <c r="AI63" s="4" t="n">
        <f aca="false">(AH63/G63)*100000</f>
        <v>28.017536627672</v>
      </c>
      <c r="AJ63" s="5" t="n">
        <f aca="false">Y63/J63</f>
        <v>0.0114415265137331</v>
      </c>
      <c r="AK63" s="2" t="n">
        <f aca="false">(Q63/Y63)*100000</f>
        <v>5919.60156527926</v>
      </c>
      <c r="AL63" s="2" t="n">
        <v>5399</v>
      </c>
      <c r="AM63" s="4" t="n">
        <f aca="false">(AL63/G63)*100000</f>
        <v>166.961015731569</v>
      </c>
      <c r="AN63" s="4" t="n">
        <f aca="false">1105.08-AM63</f>
        <v>938.118984268431</v>
      </c>
      <c r="AO63" s="6" t="n">
        <v>0.358</v>
      </c>
      <c r="AP63" s="6" t="n">
        <v>0.149</v>
      </c>
      <c r="AQ63" s="4" t="n">
        <f aca="false">J63/G63</f>
        <v>0.37988192432853</v>
      </c>
    </row>
    <row r="64" customFormat="false" ht="15" hidden="false" customHeight="false" outlineLevel="0" collapsed="false">
      <c r="A64" s="14" t="n">
        <v>25001</v>
      </c>
      <c r="B64" s="15" t="n">
        <v>25</v>
      </c>
      <c r="C64" s="15" t="s">
        <v>76</v>
      </c>
      <c r="D64" s="14" t="s">
        <v>76</v>
      </c>
      <c r="E64" s="14" t="s">
        <v>47</v>
      </c>
      <c r="F64" s="16" t="n">
        <v>13182</v>
      </c>
      <c r="G64" s="16" t="n">
        <v>3334637</v>
      </c>
      <c r="H64" s="16" t="n">
        <v>1645909</v>
      </c>
      <c r="I64" s="16" t="n">
        <v>1688728</v>
      </c>
      <c r="J64" s="16" t="n">
        <v>1280322</v>
      </c>
      <c r="K64" s="16" t="n">
        <v>607714</v>
      </c>
      <c r="L64" s="16" t="n">
        <v>672608</v>
      </c>
      <c r="M64" s="3" t="n">
        <v>0.0882841022236973</v>
      </c>
      <c r="N64" s="4" t="n">
        <f aca="false">M64*100000</f>
        <v>8828.41022236973</v>
      </c>
      <c r="O64" s="2" t="n">
        <v>570</v>
      </c>
      <c r="P64" s="2" t="n">
        <v>515</v>
      </c>
      <c r="Q64" s="6" t="n">
        <v>1085</v>
      </c>
      <c r="R64" s="6" t="n">
        <v>32.54</v>
      </c>
      <c r="S64" s="17" t="n">
        <v>1073</v>
      </c>
      <c r="T64" s="18" t="n">
        <f aca="false">(S64/J64)*100000</f>
        <v>83.8070422909237</v>
      </c>
      <c r="U64" s="19" t="n">
        <v>3102</v>
      </c>
      <c r="V64" s="19" t="n">
        <v>796</v>
      </c>
      <c r="W64" s="19" t="n">
        <v>577</v>
      </c>
      <c r="X64" s="19" t="n">
        <v>12988</v>
      </c>
      <c r="Y64" s="19" t="n">
        <v>14088</v>
      </c>
      <c r="Z64" s="20" t="n">
        <f aca="false">(Y64/G64)*100000</f>
        <v>422.474770117407</v>
      </c>
      <c r="AA64" s="2" t="n">
        <v>3335</v>
      </c>
      <c r="AB64" s="6" t="n">
        <v>1006</v>
      </c>
      <c r="AC64" s="4" t="n">
        <f aca="false">(AB64/G64)*100000</f>
        <v>30.1682012165042</v>
      </c>
      <c r="AD64" s="6" t="n">
        <v>12557</v>
      </c>
      <c r="AE64" s="4" t="n">
        <f aca="false">(AD64/G64)*100000</f>
        <v>376.562726317737</v>
      </c>
      <c r="AF64" s="6" t="n">
        <v>4085</v>
      </c>
      <c r="AG64" s="6" t="n">
        <v>1164</v>
      </c>
      <c r="AH64" s="6" t="n">
        <v>1392</v>
      </c>
      <c r="AI64" s="4" t="n">
        <f aca="false">(AH64/G64)*100000</f>
        <v>41.7436740490794</v>
      </c>
      <c r="AJ64" s="5" t="n">
        <f aca="false">Y64/J64</f>
        <v>0.0110034819365753</v>
      </c>
      <c r="AK64" s="2" t="n">
        <f aca="false">(Q64/Y64)*100000</f>
        <v>7701.59000567859</v>
      </c>
      <c r="AL64" s="2" t="n">
        <v>5473</v>
      </c>
      <c r="AM64" s="4" t="n">
        <f aca="false">(AL64/G64)*100000</f>
        <v>164.125810395554</v>
      </c>
      <c r="AN64" s="4" t="n">
        <f aca="false">1105.08-AM64</f>
        <v>940.954189604446</v>
      </c>
      <c r="AO64" s="6" t="n">
        <v>0.385</v>
      </c>
      <c r="AP64" s="6" t="n">
        <v>0.113</v>
      </c>
      <c r="AQ64" s="4" t="n">
        <f aca="false">J64/G64</f>
        <v>0.383946438547884</v>
      </c>
    </row>
    <row r="65" customFormat="false" ht="15" hidden="false" customHeight="false" outlineLevel="0" collapsed="false">
      <c r="A65" s="14" t="n">
        <v>25001</v>
      </c>
      <c r="B65" s="15" t="n">
        <v>25</v>
      </c>
      <c r="C65" s="15" t="s">
        <v>76</v>
      </c>
      <c r="D65" s="14" t="s">
        <v>76</v>
      </c>
      <c r="E65" s="14" t="s">
        <v>48</v>
      </c>
      <c r="F65" s="16" t="n">
        <v>13638</v>
      </c>
      <c r="G65" s="16" t="n">
        <v>3445327</v>
      </c>
      <c r="H65" s="16" t="n">
        <v>1700296</v>
      </c>
      <c r="I65" s="16" t="n">
        <v>1745031</v>
      </c>
      <c r="J65" s="16" t="n">
        <v>1338417</v>
      </c>
      <c r="K65" s="16" t="n">
        <v>635148</v>
      </c>
      <c r="L65" s="16" t="n">
        <v>703269</v>
      </c>
      <c r="M65" s="3" t="n">
        <v>0.0788623141564318</v>
      </c>
      <c r="N65" s="4" t="n">
        <f aca="false">M65*100000</f>
        <v>7886.23141564318</v>
      </c>
      <c r="O65" s="2" t="n">
        <v>555</v>
      </c>
      <c r="P65" s="2" t="n">
        <v>518</v>
      </c>
      <c r="Q65" s="6" t="n">
        <v>1073</v>
      </c>
      <c r="R65" s="6" t="n">
        <v>31.14</v>
      </c>
      <c r="S65" s="17" t="n">
        <v>1066</v>
      </c>
      <c r="T65" s="18" t="n">
        <f aca="false">(S65/J65)*100000</f>
        <v>79.6463284611597</v>
      </c>
      <c r="U65" s="19" t="n">
        <v>3402</v>
      </c>
      <c r="V65" s="19" t="n">
        <v>882</v>
      </c>
      <c r="W65" s="19" t="n">
        <v>665</v>
      </c>
      <c r="X65" s="19" t="n">
        <v>14227</v>
      </c>
      <c r="Y65" s="19" t="n">
        <v>15307</v>
      </c>
      <c r="Z65" s="20" t="n">
        <f aca="false">(Y65/G65)*100000</f>
        <v>444.28293743961</v>
      </c>
      <c r="AA65" s="2" t="n">
        <v>3639</v>
      </c>
      <c r="AB65" s="6" t="n">
        <v>1069</v>
      </c>
      <c r="AC65" s="4" t="n">
        <f aca="false">(AB65/G65)*100000</f>
        <v>31.0275338160935</v>
      </c>
      <c r="AD65" s="6" t="n">
        <v>14004</v>
      </c>
      <c r="AE65" s="4" t="n">
        <f aca="false">(AD65/G65)*100000</f>
        <v>406.463595472941</v>
      </c>
      <c r="AF65" s="6" t="n">
        <v>4623</v>
      </c>
      <c r="AG65" s="6" t="n">
        <v>1085</v>
      </c>
      <c r="AH65" s="6" t="n">
        <v>1410</v>
      </c>
      <c r="AI65" s="4" t="n">
        <f aca="false">(AH65/G65)*100000</f>
        <v>40.9249978303946</v>
      </c>
      <c r="AJ65" s="5" t="n">
        <f aca="false">Y65/J65</f>
        <v>0.0114366449320354</v>
      </c>
      <c r="AK65" s="2" t="n">
        <f aca="false">(Q65/Y65)*100000</f>
        <v>7009.86476775332</v>
      </c>
      <c r="AL65" s="2" t="n">
        <v>7302</v>
      </c>
      <c r="AM65" s="4" t="n">
        <f aca="false">(AL65/G65)*100000</f>
        <v>211.939244083363</v>
      </c>
      <c r="AN65" s="4" t="n">
        <f aca="false">1105.08-AM65</f>
        <v>893.140755916637</v>
      </c>
      <c r="AO65" s="6" t="n">
        <v>0.395</v>
      </c>
      <c r="AP65" s="6" t="n">
        <v>0.129</v>
      </c>
      <c r="AQ65" s="4" t="n">
        <f aca="false">J65/G65</f>
        <v>0.388473140575626</v>
      </c>
    </row>
    <row r="66" customFormat="false" ht="15" hidden="false" customHeight="false" outlineLevel="0" collapsed="false">
      <c r="A66" s="14" t="n">
        <v>94001</v>
      </c>
      <c r="B66" s="15" t="n">
        <v>94</v>
      </c>
      <c r="C66" s="15" t="s">
        <v>77</v>
      </c>
      <c r="D66" s="14" t="s">
        <v>78</v>
      </c>
      <c r="E66" s="14" t="s">
        <v>45</v>
      </c>
      <c r="F66" s="16" t="n">
        <v>34026</v>
      </c>
      <c r="G66" s="16" t="n">
        <v>52006</v>
      </c>
      <c r="H66" s="16" t="n">
        <v>27035</v>
      </c>
      <c r="I66" s="16" t="n">
        <v>24971</v>
      </c>
      <c r="J66" s="16" t="n">
        <v>10447</v>
      </c>
      <c r="K66" s="16" t="n">
        <v>5469</v>
      </c>
      <c r="L66" s="16" t="n">
        <v>4978</v>
      </c>
      <c r="M66" s="3" t="n">
        <v>0.0810810810810811</v>
      </c>
      <c r="N66" s="4" t="n">
        <f aca="false">M66*100000</f>
        <v>8108.10810810811</v>
      </c>
      <c r="O66" s="2" t="n">
        <v>5</v>
      </c>
      <c r="P66" s="2" t="n">
        <v>1</v>
      </c>
      <c r="Q66" s="6" t="n">
        <v>6</v>
      </c>
      <c r="R66" s="6" t="n">
        <v>11.54</v>
      </c>
      <c r="S66" s="17" t="n">
        <v>6</v>
      </c>
      <c r="T66" s="18" t="n">
        <f aca="false">(S66/J66)*100000</f>
        <v>57.4327558150665</v>
      </c>
      <c r="U66" s="19" t="n">
        <v>16</v>
      </c>
      <c r="V66" s="19" t="n">
        <v>2</v>
      </c>
      <c r="W66" s="19" t="n">
        <v>6</v>
      </c>
      <c r="X66" s="19" t="n">
        <v>53</v>
      </c>
      <c r="Y66" s="19" t="n">
        <v>58</v>
      </c>
      <c r="Z66" s="20" t="n">
        <f aca="false">(Y66/G66)*100000</f>
        <v>111.525593200785</v>
      </c>
      <c r="AA66" s="2" t="n">
        <v>17</v>
      </c>
      <c r="AB66" s="6" t="n">
        <v>0</v>
      </c>
      <c r="AC66" s="4" t="n">
        <f aca="false">(AB66/G66)*100000</f>
        <v>0</v>
      </c>
      <c r="AD66" s="6" t="n">
        <v>53</v>
      </c>
      <c r="AE66" s="4" t="n">
        <f aca="false">(AD66/G66)*100000</f>
        <v>101.911317924855</v>
      </c>
      <c r="AF66" s="6" t="n">
        <v>20</v>
      </c>
      <c r="AG66" s="6" t="n">
        <v>10</v>
      </c>
      <c r="AH66" s="6" t="n">
        <v>1</v>
      </c>
      <c r="AI66" s="4" t="n">
        <f aca="false">(AH66/G66)*100000</f>
        <v>1.92285505518594</v>
      </c>
      <c r="AJ66" s="5" t="n">
        <f aca="false">Y66/J66</f>
        <v>0.0055518330621231</v>
      </c>
      <c r="AK66" s="2" t="n">
        <f aca="false">(Q66/Y66)*100000</f>
        <v>10344.8275862069</v>
      </c>
      <c r="AL66" s="2" t="n">
        <v>0</v>
      </c>
      <c r="AM66" s="4" t="n">
        <f aca="false">(AL66/G66)*100000</f>
        <v>0</v>
      </c>
      <c r="AN66" s="4" t="n">
        <f aca="false">1105.08-AM66</f>
        <v>1105.08</v>
      </c>
      <c r="AO66" s="6" t="n">
        <v>0.915</v>
      </c>
      <c r="AP66" s="6" t="n">
        <v>0.273</v>
      </c>
      <c r="AQ66" s="4" t="n">
        <f aca="false">J66/G66</f>
        <v>0.200880667615275</v>
      </c>
    </row>
    <row r="67" customFormat="false" ht="15" hidden="false" customHeight="false" outlineLevel="0" collapsed="false">
      <c r="A67" s="14" t="n">
        <v>94001</v>
      </c>
      <c r="B67" s="15" t="n">
        <v>94</v>
      </c>
      <c r="C67" s="15" t="s">
        <v>77</v>
      </c>
      <c r="D67" s="14" t="s">
        <v>78</v>
      </c>
      <c r="E67" s="14" t="s">
        <v>46</v>
      </c>
      <c r="F67" s="16" t="n">
        <v>35041</v>
      </c>
      <c r="G67" s="16" t="n">
        <v>53583</v>
      </c>
      <c r="H67" s="16" t="n">
        <v>27803</v>
      </c>
      <c r="I67" s="16" t="n">
        <v>25780</v>
      </c>
      <c r="J67" s="16" t="n">
        <v>10867</v>
      </c>
      <c r="K67" s="16" t="n">
        <v>5655</v>
      </c>
      <c r="L67" s="16" t="n">
        <v>5212</v>
      </c>
      <c r="M67" s="3" t="n">
        <v>0.0263157894736842</v>
      </c>
      <c r="N67" s="4" t="n">
        <f aca="false">M67*100000</f>
        <v>2631.57894736842</v>
      </c>
      <c r="O67" s="2" t="n">
        <v>4</v>
      </c>
      <c r="P67" s="2" t="n">
        <v>1</v>
      </c>
      <c r="Q67" s="6" t="n">
        <v>5</v>
      </c>
      <c r="R67" s="6" t="n">
        <v>9.33</v>
      </c>
      <c r="S67" s="17" t="n">
        <v>5</v>
      </c>
      <c r="T67" s="18" t="n">
        <f aca="false">(S67/J67)*100000</f>
        <v>46.0108585626208</v>
      </c>
      <c r="U67" s="19" t="n">
        <v>29</v>
      </c>
      <c r="V67" s="19" t="n">
        <v>9</v>
      </c>
      <c r="W67" s="19" t="n">
        <v>13</v>
      </c>
      <c r="X67" s="19" t="n">
        <v>61</v>
      </c>
      <c r="Y67" s="19" t="n">
        <v>63</v>
      </c>
      <c r="Z67" s="20" t="n">
        <f aca="false">(Y67/G67)*100000</f>
        <v>117.574603885561</v>
      </c>
      <c r="AA67" s="2" t="n">
        <v>13</v>
      </c>
      <c r="AB67" s="6" t="n">
        <v>3</v>
      </c>
      <c r="AC67" s="4" t="n">
        <f aca="false">(AB67/G67)*100000</f>
        <v>5.59879066121718</v>
      </c>
      <c r="AD67" s="6" t="n">
        <v>61</v>
      </c>
      <c r="AE67" s="4" t="n">
        <f aca="false">(AD67/G67)*100000</f>
        <v>113.842076778083</v>
      </c>
      <c r="AF67" s="6" t="n">
        <v>44</v>
      </c>
      <c r="AG67" s="6" t="n">
        <v>12</v>
      </c>
      <c r="AH67" s="6" t="n">
        <v>10</v>
      </c>
      <c r="AI67" s="4" t="n">
        <f aca="false">(AH67/G67)*100000</f>
        <v>18.6626355373906</v>
      </c>
      <c r="AJ67" s="5" t="n">
        <f aca="false">Y67/J67</f>
        <v>0.00579736817889022</v>
      </c>
      <c r="AK67" s="2" t="n">
        <f aca="false">(Q67/Y67)*100000</f>
        <v>7936.50793650794</v>
      </c>
      <c r="AL67" s="2" t="n">
        <v>0</v>
      </c>
      <c r="AM67" s="4" t="n">
        <f aca="false">(AL67/G67)*100000</f>
        <v>0</v>
      </c>
      <c r="AN67" s="4" t="n">
        <f aca="false">1105.08-AM67</f>
        <v>1105.08</v>
      </c>
      <c r="AO67" s="6" t="n">
        <v>0.775</v>
      </c>
      <c r="AP67" s="6" t="n">
        <v>0.221</v>
      </c>
      <c r="AQ67" s="4" t="n">
        <f aca="false">J67/G67</f>
        <v>0.202806860384824</v>
      </c>
    </row>
    <row r="68" customFormat="false" ht="15" hidden="false" customHeight="false" outlineLevel="0" collapsed="false">
      <c r="A68" s="14" t="n">
        <v>94001</v>
      </c>
      <c r="B68" s="15" t="n">
        <v>94</v>
      </c>
      <c r="C68" s="15" t="s">
        <v>77</v>
      </c>
      <c r="D68" s="14" t="s">
        <v>78</v>
      </c>
      <c r="E68" s="14" t="s">
        <v>47</v>
      </c>
      <c r="F68" s="16" t="n">
        <v>36024</v>
      </c>
      <c r="G68" s="16" t="n">
        <v>55091</v>
      </c>
      <c r="H68" s="16" t="n">
        <v>28535</v>
      </c>
      <c r="I68" s="16" t="n">
        <v>26556</v>
      </c>
      <c r="J68" s="16" t="n">
        <v>11264</v>
      </c>
      <c r="K68" s="16" t="n">
        <v>5827</v>
      </c>
      <c r="L68" s="16" t="n">
        <v>5437</v>
      </c>
      <c r="M68" s="3" t="n">
        <v>0.0526315789473684</v>
      </c>
      <c r="N68" s="4" t="n">
        <f aca="false">M68*100000</f>
        <v>5263.15789473684</v>
      </c>
      <c r="O68" s="2" t="n">
        <v>2</v>
      </c>
      <c r="P68" s="2" t="n">
        <v>5</v>
      </c>
      <c r="Q68" s="6" t="n">
        <v>7</v>
      </c>
      <c r="R68" s="6" t="n">
        <v>12.71</v>
      </c>
      <c r="S68" s="17" t="n">
        <v>7</v>
      </c>
      <c r="T68" s="18" t="n">
        <f aca="false">(S68/J68)*100000</f>
        <v>62.1448863636364</v>
      </c>
      <c r="U68" s="19" t="n">
        <v>20</v>
      </c>
      <c r="V68" s="19" t="n">
        <v>2</v>
      </c>
      <c r="W68" s="19" t="n">
        <v>13</v>
      </c>
      <c r="X68" s="19" t="n">
        <v>55</v>
      </c>
      <c r="Y68" s="19" t="n">
        <v>57</v>
      </c>
      <c r="Z68" s="20" t="n">
        <f aca="false">(Y68/G68)*100000</f>
        <v>103.46517580004</v>
      </c>
      <c r="AA68" s="2" t="n">
        <v>5</v>
      </c>
      <c r="AB68" s="6" t="n">
        <v>2</v>
      </c>
      <c r="AC68" s="4" t="n">
        <f aca="false">(AB68/G68)*100000</f>
        <v>3.63035704561544</v>
      </c>
      <c r="AD68" s="6" t="n">
        <v>55</v>
      </c>
      <c r="AE68" s="4" t="n">
        <f aca="false">(AD68/G68)*100000</f>
        <v>99.8348187544245</v>
      </c>
      <c r="AF68" s="6" t="n">
        <v>32</v>
      </c>
      <c r="AG68" s="6" t="n">
        <v>14</v>
      </c>
      <c r="AH68" s="6" t="n">
        <v>4</v>
      </c>
      <c r="AI68" s="4" t="n">
        <f aca="false">(AH68/G68)*100000</f>
        <v>7.26071409123087</v>
      </c>
      <c r="AJ68" s="5" t="n">
        <f aca="false">Y68/J68</f>
        <v>0.00506036931818182</v>
      </c>
      <c r="AK68" s="2" t="n">
        <f aca="false">(Q68/Y68)*100000</f>
        <v>12280.701754386</v>
      </c>
      <c r="AL68" s="2" t="n">
        <v>0</v>
      </c>
      <c r="AM68" s="4" t="n">
        <f aca="false">(AL68/G68)*100000</f>
        <v>0</v>
      </c>
      <c r="AN68" s="4" t="n">
        <f aca="false">1105.08-AM68</f>
        <v>1105.08</v>
      </c>
      <c r="AO68" s="6" t="n">
        <v>0.702</v>
      </c>
      <c r="AP68" s="6" t="n">
        <v>0.176</v>
      </c>
      <c r="AQ68" s="4" t="n">
        <f aca="false">J68/G68</f>
        <v>0.204461708809061</v>
      </c>
    </row>
    <row r="69" customFormat="false" ht="15" hidden="false" customHeight="false" outlineLevel="0" collapsed="false">
      <c r="A69" s="14" t="n">
        <v>94001</v>
      </c>
      <c r="B69" s="15" t="n">
        <v>94</v>
      </c>
      <c r="C69" s="15" t="s">
        <v>77</v>
      </c>
      <c r="D69" s="14" t="s">
        <v>78</v>
      </c>
      <c r="E69" s="14" t="s">
        <v>48</v>
      </c>
      <c r="F69" s="16" t="n">
        <v>37015</v>
      </c>
      <c r="G69" s="16" t="n">
        <v>56551</v>
      </c>
      <c r="H69" s="16" t="n">
        <v>29244</v>
      </c>
      <c r="I69" s="16" t="n">
        <v>27307</v>
      </c>
      <c r="J69" s="16" t="n">
        <v>11648</v>
      </c>
      <c r="K69" s="16" t="n">
        <v>5993</v>
      </c>
      <c r="L69" s="16" t="n">
        <v>5655</v>
      </c>
      <c r="M69" s="3" t="n">
        <v>0.0769230769230769</v>
      </c>
      <c r="N69" s="4" t="n">
        <f aca="false">M69*100000</f>
        <v>7692.30769230769</v>
      </c>
      <c r="O69" s="2" t="n">
        <v>2</v>
      </c>
      <c r="P69" s="2" t="n">
        <v>3</v>
      </c>
      <c r="Q69" s="6" t="n">
        <v>5</v>
      </c>
      <c r="R69" s="6" t="n">
        <v>8.84</v>
      </c>
      <c r="S69" s="17" t="n">
        <v>5</v>
      </c>
      <c r="T69" s="18" t="n">
        <f aca="false">(S69/J69)*100000</f>
        <v>42.9258241758242</v>
      </c>
      <c r="U69" s="19" t="n">
        <v>20</v>
      </c>
      <c r="V69" s="19" t="n">
        <v>4</v>
      </c>
      <c r="W69" s="19" t="n">
        <v>2</v>
      </c>
      <c r="X69" s="19" t="n">
        <v>42</v>
      </c>
      <c r="Y69" s="19" t="n">
        <v>43</v>
      </c>
      <c r="Z69" s="20" t="n">
        <f aca="false">(Y69/G69)*100000</f>
        <v>76.037559017524</v>
      </c>
      <c r="AA69" s="2" t="n">
        <v>6</v>
      </c>
      <c r="AB69" s="6" t="n">
        <v>1</v>
      </c>
      <c r="AC69" s="4" t="n">
        <f aca="false">(AB69/G69)*100000</f>
        <v>1.76831532598893</v>
      </c>
      <c r="AD69" s="6" t="n">
        <v>41</v>
      </c>
      <c r="AE69" s="4" t="n">
        <f aca="false">(AD69/G69)*100000</f>
        <v>72.5009283655461</v>
      </c>
      <c r="AF69" s="6" t="n">
        <v>23</v>
      </c>
      <c r="AG69" s="6" t="n">
        <v>3</v>
      </c>
      <c r="AH69" s="6" t="n">
        <v>6</v>
      </c>
      <c r="AI69" s="4" t="n">
        <f aca="false">(AH69/G69)*100000</f>
        <v>10.6098919559336</v>
      </c>
      <c r="AJ69" s="5" t="n">
        <f aca="false">Y69/J69</f>
        <v>0.00369162087912088</v>
      </c>
      <c r="AK69" s="2" t="n">
        <f aca="false">(Q69/Y69)*100000</f>
        <v>11627.9069767442</v>
      </c>
      <c r="AL69" s="2" t="n">
        <v>0</v>
      </c>
      <c r="AM69" s="4" t="n">
        <f aca="false">(AL69/G69)*100000</f>
        <v>0</v>
      </c>
      <c r="AN69" s="4" t="n">
        <f aca="false">1105.08-AM69</f>
        <v>1105.08</v>
      </c>
      <c r="AO69" s="6" t="n">
        <v>0.809</v>
      </c>
      <c r="AP69" s="6" t="n">
        <v>0.166</v>
      </c>
      <c r="AQ69" s="4" t="n">
        <f aca="false">J69/G69</f>
        <v>0.205973369171191</v>
      </c>
    </row>
    <row r="70" customFormat="false" ht="15" hidden="false" customHeight="false" outlineLevel="0" collapsed="false">
      <c r="A70" s="14" t="n">
        <v>95001</v>
      </c>
      <c r="B70" s="15" t="n">
        <v>95</v>
      </c>
      <c r="C70" s="15" t="s">
        <v>79</v>
      </c>
      <c r="D70" s="14" t="s">
        <v>80</v>
      </c>
      <c r="E70" s="14" t="s">
        <v>45</v>
      </c>
      <c r="F70" s="16" t="n">
        <v>56294</v>
      </c>
      <c r="G70" s="16" t="n">
        <v>89050</v>
      </c>
      <c r="H70" s="16" t="n">
        <v>47149</v>
      </c>
      <c r="I70" s="16" t="n">
        <v>41901</v>
      </c>
      <c r="J70" s="16" t="n">
        <v>25466</v>
      </c>
      <c r="K70" s="16" t="n">
        <v>13804</v>
      </c>
      <c r="L70" s="16" t="n">
        <v>11662</v>
      </c>
      <c r="M70" s="3" t="n">
        <v>0.0579710144927536</v>
      </c>
      <c r="N70" s="4" t="n">
        <f aca="false">M70*100000</f>
        <v>5797.10144927536</v>
      </c>
      <c r="O70" s="2" t="n">
        <v>13</v>
      </c>
      <c r="P70" s="2" t="n">
        <v>0</v>
      </c>
      <c r="Q70" s="6" t="n">
        <v>13</v>
      </c>
      <c r="R70" s="6" t="n">
        <v>14.6</v>
      </c>
      <c r="S70" s="17" t="n">
        <v>13</v>
      </c>
      <c r="T70" s="18" t="n">
        <f aca="false">(S70/J70)*100000</f>
        <v>51.0484567658839</v>
      </c>
      <c r="U70" s="19" t="n">
        <v>52</v>
      </c>
      <c r="V70" s="19" t="n">
        <v>5</v>
      </c>
      <c r="W70" s="19" t="n">
        <v>0</v>
      </c>
      <c r="X70" s="19" t="n">
        <v>299</v>
      </c>
      <c r="Y70" s="19" t="n">
        <v>325</v>
      </c>
      <c r="Z70" s="20" t="n">
        <f aca="false">(Y70/G70)*100000</f>
        <v>364.963503649635</v>
      </c>
      <c r="AA70" s="2" t="n">
        <v>80</v>
      </c>
      <c r="AB70" s="6" t="n">
        <v>1</v>
      </c>
      <c r="AC70" s="4" t="n">
        <f aca="false">(AB70/G70)*100000</f>
        <v>1.12296462661426</v>
      </c>
      <c r="AD70" s="6" t="n">
        <v>297</v>
      </c>
      <c r="AE70" s="4" t="n">
        <f aca="false">(AD70/G70)*100000</f>
        <v>333.520494104436</v>
      </c>
      <c r="AF70" s="6" t="n">
        <v>57</v>
      </c>
      <c r="AG70" s="6" t="n">
        <v>4</v>
      </c>
      <c r="AH70" s="6" t="n">
        <v>5</v>
      </c>
      <c r="AI70" s="4" t="n">
        <f aca="false">(AH70/G70)*100000</f>
        <v>5.61482313307131</v>
      </c>
      <c r="AJ70" s="5" t="n">
        <f aca="false">Y70/J70</f>
        <v>0.012762114191471</v>
      </c>
      <c r="AK70" s="2" t="n">
        <f aca="false">(Q70/Y70)*100000</f>
        <v>4000</v>
      </c>
      <c r="AL70" s="2" t="n">
        <v>90</v>
      </c>
      <c r="AM70" s="4" t="n">
        <f aca="false">(AL70/G70)*100000</f>
        <v>101.066816395284</v>
      </c>
      <c r="AN70" s="4" t="n">
        <f aca="false">1105.08-AM70</f>
        <v>1004.01318360472</v>
      </c>
      <c r="AO70" s="6" t="n">
        <v>0.915</v>
      </c>
      <c r="AP70" s="6" t="n">
        <v>0.261</v>
      </c>
      <c r="AQ70" s="4" t="n">
        <f aca="false">J70/G70</f>
        <v>0.285974171813588</v>
      </c>
    </row>
    <row r="71" customFormat="false" ht="15" hidden="false" customHeight="false" outlineLevel="0" collapsed="false">
      <c r="A71" s="14" t="n">
        <v>95001</v>
      </c>
      <c r="B71" s="15" t="n">
        <v>95</v>
      </c>
      <c r="C71" s="15" t="s">
        <v>79</v>
      </c>
      <c r="D71" s="14" t="s">
        <v>80</v>
      </c>
      <c r="E71" s="14" t="s">
        <v>46</v>
      </c>
      <c r="F71" s="16" t="n">
        <v>57717</v>
      </c>
      <c r="G71" s="16" t="n">
        <v>91717</v>
      </c>
      <c r="H71" s="16" t="n">
        <v>48373</v>
      </c>
      <c r="I71" s="16" t="n">
        <v>43344</v>
      </c>
      <c r="J71" s="16" t="n">
        <v>26441</v>
      </c>
      <c r="K71" s="16" t="n">
        <v>14208</v>
      </c>
      <c r="L71" s="16" t="n">
        <v>12233</v>
      </c>
      <c r="M71" s="3" t="n">
        <v>0.0704225352112676</v>
      </c>
      <c r="N71" s="4" t="n">
        <f aca="false">M71*100000</f>
        <v>7042.25352112676</v>
      </c>
      <c r="O71" s="2" t="n">
        <v>12</v>
      </c>
      <c r="P71" s="2" t="n">
        <v>7</v>
      </c>
      <c r="Q71" s="6" t="n">
        <v>19</v>
      </c>
      <c r="R71" s="6" t="n">
        <v>20.72</v>
      </c>
      <c r="S71" s="17" t="n">
        <v>19</v>
      </c>
      <c r="T71" s="18" t="n">
        <f aca="false">(S71/J71)*100000</f>
        <v>71.8580991641769</v>
      </c>
      <c r="U71" s="19" t="n">
        <v>64</v>
      </c>
      <c r="V71" s="19" t="n">
        <v>0</v>
      </c>
      <c r="W71" s="19" t="n">
        <v>1</v>
      </c>
      <c r="X71" s="19" t="n">
        <v>215</v>
      </c>
      <c r="Y71" s="19" t="n">
        <v>242</v>
      </c>
      <c r="Z71" s="20" t="n">
        <f aca="false">(Y71/G71)*100000</f>
        <v>263.855119552537</v>
      </c>
      <c r="AA71" s="2" t="n">
        <v>89</v>
      </c>
      <c r="AB71" s="6" t="n">
        <v>0</v>
      </c>
      <c r="AC71" s="4" t="n">
        <f aca="false">(AB71/G71)*100000</f>
        <v>0</v>
      </c>
      <c r="AD71" s="6" t="n">
        <v>211</v>
      </c>
      <c r="AE71" s="4" t="n">
        <f aca="false">(AD71/G71)*100000</f>
        <v>230.055496799939</v>
      </c>
      <c r="AF71" s="6" t="n">
        <v>65</v>
      </c>
      <c r="AG71" s="6" t="n">
        <v>1</v>
      </c>
      <c r="AH71" s="6" t="n">
        <v>12</v>
      </c>
      <c r="AI71" s="4" t="n">
        <f aca="false">(AH71/G71)*100000</f>
        <v>13.0837249364894</v>
      </c>
      <c r="AJ71" s="5" t="n">
        <f aca="false">Y71/J71</f>
        <v>0.00915245263038463</v>
      </c>
      <c r="AK71" s="2" t="n">
        <f aca="false">(Q71/Y71)*100000</f>
        <v>7851.23966942149</v>
      </c>
      <c r="AL71" s="2" t="n">
        <v>97</v>
      </c>
      <c r="AM71" s="4" t="n">
        <f aca="false">(AL71/G71)*100000</f>
        <v>105.760109903289</v>
      </c>
      <c r="AN71" s="4" t="n">
        <f aca="false">1105.08-AM71</f>
        <v>999.31989009671</v>
      </c>
      <c r="AO71" s="6" t="n">
        <v>0.891</v>
      </c>
      <c r="AP71" s="6" t="n">
        <v>0.247</v>
      </c>
      <c r="AQ71" s="4" t="n">
        <f aca="false">J71/G71</f>
        <v>0.288288975871431</v>
      </c>
    </row>
    <row r="72" customFormat="false" ht="15" hidden="false" customHeight="false" outlineLevel="0" collapsed="false">
      <c r="A72" s="14" t="n">
        <v>95001</v>
      </c>
      <c r="B72" s="15" t="n">
        <v>95</v>
      </c>
      <c r="C72" s="15" t="s">
        <v>79</v>
      </c>
      <c r="D72" s="14" t="s">
        <v>80</v>
      </c>
      <c r="E72" s="14" t="s">
        <v>47</v>
      </c>
      <c r="F72" s="16" t="n">
        <v>59555</v>
      </c>
      <c r="G72" s="16" t="n">
        <v>94625</v>
      </c>
      <c r="H72" s="16" t="n">
        <v>49688</v>
      </c>
      <c r="I72" s="16" t="n">
        <v>44937</v>
      </c>
      <c r="J72" s="16" t="n">
        <v>27477</v>
      </c>
      <c r="K72" s="16" t="n">
        <v>14631</v>
      </c>
      <c r="L72" s="16" t="n">
        <v>12846</v>
      </c>
      <c r="M72" s="3" t="n">
        <v>0.0833333333333333</v>
      </c>
      <c r="N72" s="4" t="n">
        <f aca="false">M72*100000</f>
        <v>8333.33333333333</v>
      </c>
      <c r="O72" s="2" t="n">
        <v>10</v>
      </c>
      <c r="P72" s="2" t="n">
        <v>5</v>
      </c>
      <c r="Q72" s="6" t="n">
        <v>15</v>
      </c>
      <c r="R72" s="6" t="n">
        <v>15.85</v>
      </c>
      <c r="S72" s="17" t="n">
        <v>15</v>
      </c>
      <c r="T72" s="18" t="n">
        <f aca="false">(S72/J72)*100000</f>
        <v>54.5911125668741</v>
      </c>
      <c r="U72" s="19" t="n">
        <v>124</v>
      </c>
      <c r="V72" s="19" t="n">
        <v>12</v>
      </c>
      <c r="W72" s="19" t="n">
        <v>1</v>
      </c>
      <c r="X72" s="19" t="n">
        <v>278</v>
      </c>
      <c r="Y72" s="19" t="n">
        <v>331</v>
      </c>
      <c r="Z72" s="20" t="n">
        <f aca="false">(Y72/G72)*100000</f>
        <v>349.801849405548</v>
      </c>
      <c r="AA72" s="2" t="n">
        <v>85</v>
      </c>
      <c r="AB72" s="6" t="n">
        <v>2</v>
      </c>
      <c r="AC72" s="4" t="n">
        <f aca="false">(AB72/G72)*100000</f>
        <v>2.11360634081902</v>
      </c>
      <c r="AD72" s="6" t="n">
        <v>270</v>
      </c>
      <c r="AE72" s="4" t="n">
        <f aca="false">(AD72/G72)*100000</f>
        <v>285.336856010568</v>
      </c>
      <c r="AF72" s="6" t="n">
        <v>137</v>
      </c>
      <c r="AG72" s="6" t="n">
        <v>14</v>
      </c>
      <c r="AH72" s="6" t="n">
        <v>29</v>
      </c>
      <c r="AI72" s="4" t="n">
        <f aca="false">(AH72/G72)*100000</f>
        <v>30.6472919418758</v>
      </c>
      <c r="AJ72" s="5" t="n">
        <f aca="false">Y72/J72</f>
        <v>0.0120464388397569</v>
      </c>
      <c r="AK72" s="2" t="n">
        <f aca="false">(Q72/Y72)*100000</f>
        <v>4531.72205438066</v>
      </c>
      <c r="AL72" s="2" t="n">
        <v>350</v>
      </c>
      <c r="AM72" s="4" t="n">
        <f aca="false">(AL72/G72)*100000</f>
        <v>369.881109643329</v>
      </c>
      <c r="AN72" s="4" t="n">
        <f aca="false">1105.08-AM72</f>
        <v>735.198890356671</v>
      </c>
      <c r="AO72" s="6" t="n">
        <v>0.893</v>
      </c>
      <c r="AP72" s="6" t="n">
        <v>0.185</v>
      </c>
      <c r="AQ72" s="4" t="n">
        <f aca="false">J72/G72</f>
        <v>0.290377807133421</v>
      </c>
    </row>
    <row r="73" customFormat="false" ht="15" hidden="false" customHeight="false" outlineLevel="0" collapsed="false">
      <c r="A73" s="14" t="n">
        <v>95001</v>
      </c>
      <c r="B73" s="15" t="n">
        <v>95</v>
      </c>
      <c r="C73" s="15" t="s">
        <v>79</v>
      </c>
      <c r="D73" s="14" t="s">
        <v>80</v>
      </c>
      <c r="E73" s="14" t="s">
        <v>48</v>
      </c>
      <c r="F73" s="16" t="n">
        <v>61403</v>
      </c>
      <c r="G73" s="16" t="n">
        <v>97616</v>
      </c>
      <c r="H73" s="16" t="n">
        <v>51032</v>
      </c>
      <c r="I73" s="16" t="n">
        <v>46584</v>
      </c>
      <c r="J73" s="16" t="n">
        <v>28562</v>
      </c>
      <c r="K73" s="16" t="n">
        <v>15076</v>
      </c>
      <c r="L73" s="16" t="n">
        <v>13486</v>
      </c>
      <c r="M73" s="3" t="n">
        <v>0.0810810810810811</v>
      </c>
      <c r="N73" s="4" t="n">
        <f aca="false">M73*100000</f>
        <v>8108.10810810811</v>
      </c>
      <c r="O73" s="2" t="n">
        <v>9</v>
      </c>
      <c r="P73" s="2" t="n">
        <v>7</v>
      </c>
      <c r="Q73" s="6" t="n">
        <v>16</v>
      </c>
      <c r="R73" s="6" t="n">
        <v>16.39</v>
      </c>
      <c r="S73" s="17" t="n">
        <v>16</v>
      </c>
      <c r="T73" s="18" t="n">
        <f aca="false">(S73/J73)*100000</f>
        <v>56.0184861004131</v>
      </c>
      <c r="U73" s="19" t="n">
        <v>91</v>
      </c>
      <c r="V73" s="19" t="n">
        <v>2</v>
      </c>
      <c r="W73" s="19" t="n">
        <v>3</v>
      </c>
      <c r="X73" s="19" t="n">
        <v>219</v>
      </c>
      <c r="Y73" s="19" t="n">
        <v>268</v>
      </c>
      <c r="Z73" s="20" t="n">
        <f aca="false">(Y73/G73)*100000</f>
        <v>274.545156531716</v>
      </c>
      <c r="AA73" s="2" t="n">
        <v>82</v>
      </c>
      <c r="AB73" s="6" t="n">
        <v>2</v>
      </c>
      <c r="AC73" s="4" t="n">
        <f aca="false">(AB73/G73)*100000</f>
        <v>2.04884445172922</v>
      </c>
      <c r="AD73" s="6" t="n">
        <v>217</v>
      </c>
      <c r="AE73" s="4" t="n">
        <f aca="false">(AD73/G73)*100000</f>
        <v>222.299623012621</v>
      </c>
      <c r="AF73" s="6" t="n">
        <v>95</v>
      </c>
      <c r="AG73" s="6" t="n">
        <v>13</v>
      </c>
      <c r="AH73" s="6" t="n">
        <v>10</v>
      </c>
      <c r="AI73" s="4" t="n">
        <f aca="false">(AH73/G73)*100000</f>
        <v>10.2442222586461</v>
      </c>
      <c r="AJ73" s="5" t="n">
        <f aca="false">Y73/J73</f>
        <v>0.0093830964218192</v>
      </c>
      <c r="AK73" s="2" t="n">
        <f aca="false">(Q73/Y73)*100000</f>
        <v>5970.14925373134</v>
      </c>
      <c r="AL73" s="2" t="n">
        <v>89</v>
      </c>
      <c r="AM73" s="4" t="n">
        <f aca="false">(AL73/G73)*100000</f>
        <v>91.1735781019505</v>
      </c>
      <c r="AN73" s="4" t="n">
        <f aca="false">1105.08-AM73</f>
        <v>1013.90642189805</v>
      </c>
      <c r="AO73" s="6" t="n">
        <v>0.898</v>
      </c>
      <c r="AP73" s="6" t="n">
        <v>0.205</v>
      </c>
      <c r="AQ73" s="4" t="n">
        <f aca="false">J73/G73</f>
        <v>0.292595476151451</v>
      </c>
    </row>
    <row r="74" customFormat="false" ht="15" hidden="false" customHeight="false" outlineLevel="0" collapsed="false">
      <c r="A74" s="14" t="n">
        <v>41001</v>
      </c>
      <c r="B74" s="15" t="n">
        <v>41</v>
      </c>
      <c r="C74" s="15" t="s">
        <v>81</v>
      </c>
      <c r="D74" s="14" t="s">
        <v>82</v>
      </c>
      <c r="E74" s="14" t="s">
        <v>45</v>
      </c>
      <c r="F74" s="16" t="n">
        <v>367781</v>
      </c>
      <c r="G74" s="16" t="n">
        <v>1136911</v>
      </c>
      <c r="H74" s="16" t="n">
        <v>566780</v>
      </c>
      <c r="I74" s="16" t="n">
        <v>570131</v>
      </c>
      <c r="J74" s="16" t="n">
        <v>385246</v>
      </c>
      <c r="K74" s="16" t="n">
        <v>185302</v>
      </c>
      <c r="L74" s="16" t="n">
        <v>199944</v>
      </c>
      <c r="M74" s="3" t="n">
        <v>0.0423913043478261</v>
      </c>
      <c r="N74" s="4" t="n">
        <f aca="false">M74*100000</f>
        <v>4239.13043478261</v>
      </c>
      <c r="O74" s="2" t="n">
        <v>140</v>
      </c>
      <c r="P74" s="2" t="n">
        <v>100</v>
      </c>
      <c r="Q74" s="6" t="n">
        <v>240</v>
      </c>
      <c r="R74" s="6" t="n">
        <v>21.11</v>
      </c>
      <c r="S74" s="17" t="n">
        <v>239</v>
      </c>
      <c r="T74" s="18" t="n">
        <f aca="false">(S74/J74)*100000</f>
        <v>62.0382820327791</v>
      </c>
      <c r="U74" s="19" t="n">
        <v>1432</v>
      </c>
      <c r="V74" s="19" t="n">
        <v>260</v>
      </c>
      <c r="W74" s="19" t="n">
        <v>313</v>
      </c>
      <c r="X74" s="19" t="n">
        <v>4419</v>
      </c>
      <c r="Y74" s="19" t="n">
        <v>4617</v>
      </c>
      <c r="Z74" s="20" t="n">
        <f aca="false">(Y74/G74)*100000</f>
        <v>406.100389564355</v>
      </c>
      <c r="AA74" s="2" t="n">
        <v>2275</v>
      </c>
      <c r="AB74" s="6" t="n">
        <v>38</v>
      </c>
      <c r="AC74" s="4" t="n">
        <f aca="false">(AB74/G74)*100000</f>
        <v>3.34239003756671</v>
      </c>
      <c r="AD74" s="6" t="n">
        <v>4304</v>
      </c>
      <c r="AE74" s="4" t="n">
        <f aca="false">(AD74/G74)*100000</f>
        <v>378.569650570713</v>
      </c>
      <c r="AF74" s="6" t="n">
        <v>1808</v>
      </c>
      <c r="AG74" s="6" t="n">
        <v>483</v>
      </c>
      <c r="AH74" s="6" t="n">
        <v>565</v>
      </c>
      <c r="AI74" s="4" t="n">
        <f aca="false">(AH74/G74)*100000</f>
        <v>49.6960624006628</v>
      </c>
      <c r="AJ74" s="5" t="n">
        <f aca="false">Y74/J74</f>
        <v>0.0119845501316042</v>
      </c>
      <c r="AK74" s="2" t="n">
        <f aca="false">(Q74/Y74)*100000</f>
        <v>5198.18063677713</v>
      </c>
      <c r="AL74" s="2" t="n">
        <v>841</v>
      </c>
      <c r="AM74" s="4" t="n">
        <f aca="false">(AL74/G74)*100000</f>
        <v>73.9723689893052</v>
      </c>
      <c r="AN74" s="4" t="n">
        <f aca="false">1105.08-AM74</f>
        <v>1031.10763101069</v>
      </c>
      <c r="AO74" s="6" t="n">
        <v>0.944</v>
      </c>
      <c r="AP74" s="6" t="n">
        <v>0.129</v>
      </c>
      <c r="AQ74" s="4" t="n">
        <f aca="false">J74/G74</f>
        <v>0.338853261161164</v>
      </c>
    </row>
    <row r="75" customFormat="false" ht="15" hidden="false" customHeight="false" outlineLevel="0" collapsed="false">
      <c r="A75" s="14" t="n">
        <v>41001</v>
      </c>
      <c r="B75" s="15" t="n">
        <v>41</v>
      </c>
      <c r="C75" s="15" t="s">
        <v>81</v>
      </c>
      <c r="D75" s="14" t="s">
        <v>82</v>
      </c>
      <c r="E75" s="14" t="s">
        <v>46</v>
      </c>
      <c r="F75" s="16" t="n">
        <v>371590</v>
      </c>
      <c r="G75" s="16" t="n">
        <v>1151211</v>
      </c>
      <c r="H75" s="16" t="n">
        <v>573417</v>
      </c>
      <c r="I75" s="16" t="n">
        <v>577794</v>
      </c>
      <c r="J75" s="16" t="n">
        <v>393271</v>
      </c>
      <c r="K75" s="16" t="n">
        <v>188781</v>
      </c>
      <c r="L75" s="16" t="n">
        <v>204490</v>
      </c>
      <c r="M75" s="3" t="n">
        <v>0.0550755939524838</v>
      </c>
      <c r="N75" s="4" t="n">
        <f aca="false">M75*100000</f>
        <v>5507.55939524838</v>
      </c>
      <c r="O75" s="2" t="n">
        <v>130</v>
      </c>
      <c r="P75" s="2" t="n">
        <v>99</v>
      </c>
      <c r="Q75" s="6" t="n">
        <v>229</v>
      </c>
      <c r="R75" s="6" t="n">
        <v>19.89</v>
      </c>
      <c r="S75" s="17" t="n">
        <v>229</v>
      </c>
      <c r="T75" s="18" t="n">
        <f aca="false">(S75/J75)*100000</f>
        <v>58.22956688899</v>
      </c>
      <c r="U75" s="19" t="n">
        <v>1379</v>
      </c>
      <c r="V75" s="19" t="n">
        <v>377</v>
      </c>
      <c r="W75" s="19" t="n">
        <v>306</v>
      </c>
      <c r="X75" s="19" t="n">
        <v>4259</v>
      </c>
      <c r="Y75" s="19" t="n">
        <v>4616</v>
      </c>
      <c r="Z75" s="20" t="n">
        <f aca="false">(Y75/G75)*100000</f>
        <v>400.969066487377</v>
      </c>
      <c r="AA75" s="2" t="n">
        <v>2038</v>
      </c>
      <c r="AB75" s="6" t="n">
        <v>118</v>
      </c>
      <c r="AC75" s="4" t="n">
        <f aca="false">(AB75/G75)*100000</f>
        <v>10.2500757897553</v>
      </c>
      <c r="AD75" s="6" t="n">
        <v>4133</v>
      </c>
      <c r="AE75" s="4" t="n">
        <f aca="false">(AD75/G75)*100000</f>
        <v>359.013247788633</v>
      </c>
      <c r="AF75" s="6" t="n">
        <v>1822</v>
      </c>
      <c r="AG75" s="6" t="n">
        <v>418</v>
      </c>
      <c r="AH75" s="6" t="n">
        <v>492</v>
      </c>
      <c r="AI75" s="4" t="n">
        <f aca="false">(AH75/G75)*100000</f>
        <v>42.7376041403357</v>
      </c>
      <c r="AJ75" s="5" t="n">
        <f aca="false">Y75/J75</f>
        <v>0.0117374533082785</v>
      </c>
      <c r="AK75" s="2" t="n">
        <f aca="false">(Q75/Y75)*100000</f>
        <v>4961.00519930676</v>
      </c>
      <c r="AL75" s="2" t="n">
        <v>1509</v>
      </c>
      <c r="AM75" s="4" t="n">
        <f aca="false">(AL75/G75)*100000</f>
        <v>131.079359040176</v>
      </c>
      <c r="AN75" s="4" t="n">
        <f aca="false">1105.08-AM75</f>
        <v>974.000640959824</v>
      </c>
      <c r="AO75" s="6" t="n">
        <v>0.518</v>
      </c>
      <c r="AP75" s="6" t="n">
        <v>0.109</v>
      </c>
      <c r="AQ75" s="4" t="n">
        <f aca="false">J75/G75</f>
        <v>0.341615047111259</v>
      </c>
    </row>
    <row r="76" customFormat="false" ht="15" hidden="false" customHeight="false" outlineLevel="0" collapsed="false">
      <c r="A76" s="14" t="n">
        <v>41001</v>
      </c>
      <c r="B76" s="15" t="n">
        <v>41</v>
      </c>
      <c r="C76" s="15" t="s">
        <v>81</v>
      </c>
      <c r="D76" s="14" t="s">
        <v>82</v>
      </c>
      <c r="E76" s="14" t="s">
        <v>47</v>
      </c>
      <c r="F76" s="16" t="n">
        <v>375660</v>
      </c>
      <c r="G76" s="16" t="n">
        <v>1164463</v>
      </c>
      <c r="H76" s="16" t="n">
        <v>579492</v>
      </c>
      <c r="I76" s="16" t="n">
        <v>584971</v>
      </c>
      <c r="J76" s="16" t="n">
        <v>401502</v>
      </c>
      <c r="K76" s="16" t="n">
        <v>192385</v>
      </c>
      <c r="L76" s="16" t="n">
        <v>209117</v>
      </c>
      <c r="M76" s="3" t="n">
        <v>0.0402969247083775</v>
      </c>
      <c r="N76" s="4" t="n">
        <f aca="false">M76*100000</f>
        <v>4029.69247083775</v>
      </c>
      <c r="O76" s="2" t="n">
        <v>168</v>
      </c>
      <c r="P76" s="2" t="n">
        <v>143</v>
      </c>
      <c r="Q76" s="6" t="n">
        <v>311</v>
      </c>
      <c r="R76" s="6" t="n">
        <v>26.71</v>
      </c>
      <c r="S76" s="17" t="n">
        <v>309</v>
      </c>
      <c r="T76" s="18" t="n">
        <f aca="false">(S76/J76)*100000</f>
        <v>76.9610114021848</v>
      </c>
      <c r="U76" s="19" t="n">
        <v>999</v>
      </c>
      <c r="V76" s="19" t="n">
        <v>552</v>
      </c>
      <c r="W76" s="19" t="n">
        <v>468</v>
      </c>
      <c r="X76" s="19" t="n">
        <v>4150</v>
      </c>
      <c r="Y76" s="19" t="n">
        <v>4422</v>
      </c>
      <c r="Z76" s="20" t="n">
        <f aca="false">(Y76/G76)*100000</f>
        <v>379.745857103231</v>
      </c>
      <c r="AA76" s="2" t="n">
        <v>1955</v>
      </c>
      <c r="AB76" s="6" t="n">
        <v>127</v>
      </c>
      <c r="AC76" s="4" t="n">
        <f aca="false">(AB76/G76)*100000</f>
        <v>10.9063147562439</v>
      </c>
      <c r="AD76" s="6" t="n">
        <v>4037</v>
      </c>
      <c r="AE76" s="4" t="n">
        <f aca="false">(AD76/G76)*100000</f>
        <v>346.683406857925</v>
      </c>
      <c r="AF76" s="6" t="n">
        <v>1747</v>
      </c>
      <c r="AG76" s="6" t="n">
        <v>485</v>
      </c>
      <c r="AH76" s="6" t="n">
        <v>644</v>
      </c>
      <c r="AI76" s="4" t="n">
        <f aca="false">(AH76/G76)*100000</f>
        <v>55.3044622285122</v>
      </c>
      <c r="AJ76" s="5" t="n">
        <f aca="false">Y76/J76</f>
        <v>0.0110136437676525</v>
      </c>
      <c r="AK76" s="2" t="n">
        <f aca="false">(Q76/Y76)*100000</f>
        <v>7033.01673450927</v>
      </c>
      <c r="AL76" s="2" t="n">
        <v>1452</v>
      </c>
      <c r="AM76" s="4" t="n">
        <f aca="false">(AL76/G76)*100000</f>
        <v>124.692669496583</v>
      </c>
      <c r="AN76" s="4" t="n">
        <f aca="false">1105.08-AM76</f>
        <v>980.387330503417</v>
      </c>
      <c r="AO76" s="6" t="n">
        <v>0.549</v>
      </c>
      <c r="AP76" s="6" t="n">
        <v>0.1</v>
      </c>
      <c r="AQ76" s="4" t="n">
        <f aca="false">J76/G76</f>
        <v>0.344795841516648</v>
      </c>
    </row>
    <row r="77" customFormat="false" ht="15" hidden="false" customHeight="false" outlineLevel="0" collapsed="false">
      <c r="A77" s="14" t="n">
        <v>41001</v>
      </c>
      <c r="B77" s="15" t="n">
        <v>41</v>
      </c>
      <c r="C77" s="15" t="s">
        <v>81</v>
      </c>
      <c r="D77" s="14" t="s">
        <v>82</v>
      </c>
      <c r="E77" s="14" t="s">
        <v>48</v>
      </c>
      <c r="F77" s="16" t="n">
        <v>380019</v>
      </c>
      <c r="G77" s="16" t="n">
        <v>1178453</v>
      </c>
      <c r="H77" s="16" t="n">
        <v>586146</v>
      </c>
      <c r="I77" s="16" t="n">
        <v>592307</v>
      </c>
      <c r="J77" s="16" t="n">
        <v>410891</v>
      </c>
      <c r="K77" s="16" t="n">
        <v>196736</v>
      </c>
      <c r="L77" s="16" t="n">
        <v>214155</v>
      </c>
      <c r="M77" s="3" t="n">
        <v>0.0408805031446541</v>
      </c>
      <c r="N77" s="4" t="n">
        <f aca="false">M77*100000</f>
        <v>4088.05031446541</v>
      </c>
      <c r="O77" s="2" t="n">
        <v>189</v>
      </c>
      <c r="P77" s="2" t="n">
        <v>151</v>
      </c>
      <c r="Q77" s="6" t="n">
        <v>340</v>
      </c>
      <c r="R77" s="6" t="n">
        <v>28.85</v>
      </c>
      <c r="S77" s="17" t="n">
        <v>338</v>
      </c>
      <c r="T77" s="18" t="n">
        <f aca="false">(S77/J77)*100000</f>
        <v>82.2602588034296</v>
      </c>
      <c r="U77" s="19" t="n">
        <v>1069</v>
      </c>
      <c r="V77" s="19" t="n">
        <v>524</v>
      </c>
      <c r="W77" s="19" t="n">
        <v>359</v>
      </c>
      <c r="X77" s="19" t="n">
        <v>3903</v>
      </c>
      <c r="Y77" s="19" t="n">
        <v>4240</v>
      </c>
      <c r="Z77" s="20" t="n">
        <f aca="false">(Y77/G77)*100000</f>
        <v>359.793729575978</v>
      </c>
      <c r="AA77" s="2" t="n">
        <v>2103</v>
      </c>
      <c r="AB77" s="6" t="n">
        <v>181</v>
      </c>
      <c r="AC77" s="4" t="n">
        <f aca="false">(AB77/G77)*100000</f>
        <v>15.359119116333</v>
      </c>
      <c r="AD77" s="6" t="n">
        <v>3814</v>
      </c>
      <c r="AE77" s="4" t="n">
        <f aca="false">(AD77/G77)*100000</f>
        <v>323.644642594995</v>
      </c>
      <c r="AF77" s="6" t="n">
        <v>1721</v>
      </c>
      <c r="AG77" s="6" t="n">
        <v>502</v>
      </c>
      <c r="AH77" s="6" t="n">
        <v>522</v>
      </c>
      <c r="AI77" s="4" t="n">
        <f aca="false">(AH77/G77)*100000</f>
        <v>44.2953601034577</v>
      </c>
      <c r="AJ77" s="5" t="n">
        <f aca="false">Y77/J77</f>
        <v>0.0103190383824421</v>
      </c>
      <c r="AK77" s="2" t="n">
        <f aca="false">(Q77/Y77)*100000</f>
        <v>8018.8679245283</v>
      </c>
      <c r="AL77" s="2" t="n">
        <v>1587</v>
      </c>
      <c r="AM77" s="4" t="n">
        <f aca="false">(AL77/G77)*100000</f>
        <v>134.668077555914</v>
      </c>
      <c r="AN77" s="4" t="n">
        <f aca="false">1105.08-AM77</f>
        <v>970.411922444086</v>
      </c>
      <c r="AO77" s="6" t="n">
        <v>0.541</v>
      </c>
      <c r="AP77" s="6" t="n">
        <v>0.075</v>
      </c>
      <c r="AQ77" s="4" t="n">
        <f aca="false">J77/G77</f>
        <v>0.348669823913215</v>
      </c>
    </row>
    <row r="78" customFormat="false" ht="15" hidden="false" customHeight="false" outlineLevel="0" collapsed="false">
      <c r="A78" s="14" t="n">
        <v>44001</v>
      </c>
      <c r="B78" s="15" t="n">
        <v>44</v>
      </c>
      <c r="C78" s="15" t="s">
        <v>83</v>
      </c>
      <c r="D78" s="14" t="s">
        <v>84</v>
      </c>
      <c r="E78" s="14" t="s">
        <v>45</v>
      </c>
      <c r="F78" s="16" t="n">
        <v>206087</v>
      </c>
      <c r="G78" s="16" t="n">
        <v>964067</v>
      </c>
      <c r="H78" s="16" t="n">
        <v>472935</v>
      </c>
      <c r="I78" s="16" t="n">
        <v>491132</v>
      </c>
      <c r="J78" s="16" t="n">
        <v>235758</v>
      </c>
      <c r="K78" s="16" t="n">
        <v>110003</v>
      </c>
      <c r="L78" s="16" t="n">
        <v>125755</v>
      </c>
      <c r="M78" s="3" t="n">
        <v>0.0266666666666667</v>
      </c>
      <c r="N78" s="4" t="n">
        <f aca="false">M78*100000</f>
        <v>2666.66666666667</v>
      </c>
      <c r="O78" s="2" t="n">
        <v>58</v>
      </c>
      <c r="P78" s="2" t="n">
        <v>35</v>
      </c>
      <c r="Q78" s="6" t="n">
        <v>93</v>
      </c>
      <c r="R78" s="6" t="n">
        <v>9.65</v>
      </c>
      <c r="S78" s="17" t="n">
        <v>93</v>
      </c>
      <c r="T78" s="18" t="n">
        <f aca="false">(S78/J78)*100000</f>
        <v>39.447229786476</v>
      </c>
      <c r="U78" s="19" t="n">
        <v>306</v>
      </c>
      <c r="V78" s="19" t="n">
        <v>32</v>
      </c>
      <c r="W78" s="19" t="n">
        <v>45</v>
      </c>
      <c r="X78" s="19" t="n">
        <v>1009</v>
      </c>
      <c r="Y78" s="19" t="n">
        <v>1105</v>
      </c>
      <c r="Z78" s="20" t="n">
        <f aca="false">(Y78/G78)*100000</f>
        <v>114.618589786809</v>
      </c>
      <c r="AA78" s="2" t="n">
        <v>217</v>
      </c>
      <c r="AB78" s="6" t="n">
        <v>118</v>
      </c>
      <c r="AC78" s="4" t="n">
        <f aca="false">(AB78/G78)*100000</f>
        <v>12.2398132080032</v>
      </c>
      <c r="AD78" s="6" t="n">
        <v>965</v>
      </c>
      <c r="AE78" s="4" t="n">
        <f aca="false">(AD78/G78)*100000</f>
        <v>100.096777506128</v>
      </c>
      <c r="AF78" s="6" t="n">
        <v>360</v>
      </c>
      <c r="AG78" s="6" t="n">
        <v>145</v>
      </c>
      <c r="AH78" s="6" t="n">
        <v>81</v>
      </c>
      <c r="AI78" s="4" t="n">
        <f aca="false">(AH78/G78)*100000</f>
        <v>8.40190567668015</v>
      </c>
      <c r="AJ78" s="5" t="n">
        <f aca="false">Y78/J78</f>
        <v>0.00468700956065118</v>
      </c>
      <c r="AK78" s="2" t="n">
        <f aca="false">(Q78/Y78)*100000</f>
        <v>8416.28959276018</v>
      </c>
      <c r="AL78" s="2" t="n">
        <v>424</v>
      </c>
      <c r="AM78" s="4" t="n">
        <f aca="false">(AL78/G78)*100000</f>
        <v>43.9803457643504</v>
      </c>
      <c r="AN78" s="4" t="n">
        <f aca="false">1105.08-AM78</f>
        <v>1061.09965423565</v>
      </c>
      <c r="AO78" s="6" t="n">
        <v>0.956</v>
      </c>
      <c r="AP78" s="6" t="n">
        <v>0.131</v>
      </c>
      <c r="AQ78" s="4" t="n">
        <f aca="false">J78/G78</f>
        <v>0.244545244262069</v>
      </c>
    </row>
    <row r="79" customFormat="false" ht="15" hidden="false" customHeight="false" outlineLevel="0" collapsed="false">
      <c r="A79" s="14" t="n">
        <v>44001</v>
      </c>
      <c r="B79" s="15" t="n">
        <v>44</v>
      </c>
      <c r="C79" s="15" t="s">
        <v>83</v>
      </c>
      <c r="D79" s="14" t="s">
        <v>84</v>
      </c>
      <c r="E79" s="14" t="s">
        <v>46</v>
      </c>
      <c r="F79" s="16" t="n">
        <v>212481</v>
      </c>
      <c r="G79" s="16" t="n">
        <v>993081</v>
      </c>
      <c r="H79" s="16" t="n">
        <v>487258</v>
      </c>
      <c r="I79" s="16" t="n">
        <v>505823</v>
      </c>
      <c r="J79" s="16" t="n">
        <v>245608</v>
      </c>
      <c r="K79" s="16" t="n">
        <v>114426</v>
      </c>
      <c r="L79" s="16" t="n">
        <v>131182</v>
      </c>
      <c r="M79" s="3" t="n">
        <v>0.0181818181818182</v>
      </c>
      <c r="N79" s="4" t="n">
        <f aca="false">M79*100000</f>
        <v>1818.18181818182</v>
      </c>
      <c r="O79" s="2" t="n">
        <v>65</v>
      </c>
      <c r="P79" s="2" t="n">
        <v>43</v>
      </c>
      <c r="Q79" s="6" t="n">
        <v>108</v>
      </c>
      <c r="R79" s="6" t="n">
        <v>10.88</v>
      </c>
      <c r="S79" s="17" t="n">
        <v>104</v>
      </c>
      <c r="T79" s="18" t="n">
        <f aca="false">(S79/J79)*100000</f>
        <v>42.3438975929123</v>
      </c>
      <c r="U79" s="19" t="n">
        <v>345</v>
      </c>
      <c r="V79" s="19" t="n">
        <v>26</v>
      </c>
      <c r="W79" s="19" t="n">
        <v>16</v>
      </c>
      <c r="X79" s="19" t="n">
        <v>1137</v>
      </c>
      <c r="Y79" s="19" t="n">
        <v>1244</v>
      </c>
      <c r="Z79" s="20" t="n">
        <f aca="false">(Y79/G79)*100000</f>
        <v>125.266720438715</v>
      </c>
      <c r="AA79" s="2" t="n">
        <v>342</v>
      </c>
      <c r="AB79" s="6" t="n">
        <v>145</v>
      </c>
      <c r="AC79" s="4" t="n">
        <f aca="false">(AB79/G79)*100000</f>
        <v>14.6010244884355</v>
      </c>
      <c r="AD79" s="6" t="n">
        <v>1101</v>
      </c>
      <c r="AE79" s="4" t="n">
        <f aca="false">(AD79/G79)*100000</f>
        <v>110.8670893915</v>
      </c>
      <c r="AF79" s="6" t="n">
        <v>378</v>
      </c>
      <c r="AG79" s="6" t="n">
        <v>110</v>
      </c>
      <c r="AH79" s="6" t="n">
        <v>55</v>
      </c>
      <c r="AI79" s="4" t="n">
        <f aca="false">(AH79/G79)*100000</f>
        <v>5.5383196335445</v>
      </c>
      <c r="AJ79" s="5" t="n">
        <f aca="false">Y79/J79</f>
        <v>0.00506498159669066</v>
      </c>
      <c r="AK79" s="2" t="n">
        <f aca="false">(Q79/Y79)*100000</f>
        <v>8681.67202572347</v>
      </c>
      <c r="AL79" s="2" t="n">
        <v>747</v>
      </c>
      <c r="AM79" s="4" t="n">
        <f aca="false">(AL79/G79)*100000</f>
        <v>75.2204502955952</v>
      </c>
      <c r="AN79" s="4" t="n">
        <f aca="false">1105.08-AM79</f>
        <v>1029.8595497044</v>
      </c>
      <c r="AO79" s="6" t="n">
        <v>0.811</v>
      </c>
      <c r="AP79" s="6" t="n">
        <v>0.107</v>
      </c>
      <c r="AQ79" s="4" t="n">
        <f aca="false">J79/G79</f>
        <v>0.247319201555563</v>
      </c>
    </row>
    <row r="80" customFormat="false" ht="15" hidden="false" customHeight="false" outlineLevel="0" collapsed="false">
      <c r="A80" s="14" t="n">
        <v>44001</v>
      </c>
      <c r="B80" s="15" t="n">
        <v>44</v>
      </c>
      <c r="C80" s="15" t="s">
        <v>83</v>
      </c>
      <c r="D80" s="14" t="s">
        <v>84</v>
      </c>
      <c r="E80" s="14" t="s">
        <v>47</v>
      </c>
      <c r="F80" s="16" t="n">
        <v>217719</v>
      </c>
      <c r="G80" s="16" t="n">
        <v>1017121</v>
      </c>
      <c r="H80" s="16" t="n">
        <v>499180</v>
      </c>
      <c r="I80" s="16" t="n">
        <v>517941</v>
      </c>
      <c r="J80" s="16" t="n">
        <v>254669</v>
      </c>
      <c r="K80" s="16" t="n">
        <v>118485</v>
      </c>
      <c r="L80" s="16" t="n">
        <v>136184</v>
      </c>
      <c r="M80" s="3" t="n">
        <v>0.0318877551020408</v>
      </c>
      <c r="N80" s="4" t="n">
        <f aca="false">M80*100000</f>
        <v>3188.77551020408</v>
      </c>
      <c r="O80" s="2" t="n">
        <v>59</v>
      </c>
      <c r="P80" s="2" t="n">
        <v>37</v>
      </c>
      <c r="Q80" s="6" t="n">
        <v>96</v>
      </c>
      <c r="R80" s="6" t="n">
        <v>9.44</v>
      </c>
      <c r="S80" s="17" t="n">
        <v>95</v>
      </c>
      <c r="T80" s="18" t="n">
        <f aca="false">(S80/J80)*100000</f>
        <v>37.3033231370917</v>
      </c>
      <c r="U80" s="19" t="n">
        <v>344</v>
      </c>
      <c r="V80" s="19" t="n">
        <v>40</v>
      </c>
      <c r="W80" s="19" t="n">
        <v>23</v>
      </c>
      <c r="X80" s="19" t="n">
        <v>1351</v>
      </c>
      <c r="Y80" s="19" t="n">
        <v>1472</v>
      </c>
      <c r="Z80" s="20" t="n">
        <f aca="false">(Y80/G80)*100000</f>
        <v>144.72221102504</v>
      </c>
      <c r="AA80" s="2" t="n">
        <v>371</v>
      </c>
      <c r="AB80" s="6" t="n">
        <v>96</v>
      </c>
      <c r="AC80" s="4" t="n">
        <f aca="false">(AB80/G80)*100000</f>
        <v>9.43840506685045</v>
      </c>
      <c r="AD80" s="6" t="n">
        <v>1288</v>
      </c>
      <c r="AE80" s="4" t="n">
        <f aca="false">(AD80/G80)*100000</f>
        <v>126.63193464691</v>
      </c>
      <c r="AF80" s="6" t="n">
        <v>395</v>
      </c>
      <c r="AG80" s="6" t="n">
        <v>176</v>
      </c>
      <c r="AH80" s="6" t="n">
        <v>105</v>
      </c>
      <c r="AI80" s="4" t="n">
        <f aca="false">(AH80/G80)*100000</f>
        <v>10.3232555418677</v>
      </c>
      <c r="AJ80" s="5" t="n">
        <f aca="false">Y80/J80</f>
        <v>0.00578005175345252</v>
      </c>
      <c r="AK80" s="2" t="n">
        <f aca="false">(Q80/Y80)*100000</f>
        <v>6521.73913043478</v>
      </c>
      <c r="AL80" s="2" t="n">
        <v>776</v>
      </c>
      <c r="AM80" s="4" t="n">
        <f aca="false">(AL80/G80)*100000</f>
        <v>76.2937742903745</v>
      </c>
      <c r="AN80" s="4" t="n">
        <f aca="false">1105.08-AM80</f>
        <v>1028.78622570963</v>
      </c>
      <c r="AO80" s="6" t="n">
        <v>0.858</v>
      </c>
      <c r="AP80" s="6" t="n">
        <v>0.1</v>
      </c>
      <c r="AQ80" s="4" t="n">
        <f aca="false">J80/G80</f>
        <v>0.250382206246848</v>
      </c>
    </row>
    <row r="81" customFormat="false" ht="15" hidden="false" customHeight="false" outlineLevel="0" collapsed="false">
      <c r="A81" s="14" t="n">
        <v>44001</v>
      </c>
      <c r="B81" s="15" t="n">
        <v>44</v>
      </c>
      <c r="C81" s="15" t="s">
        <v>83</v>
      </c>
      <c r="D81" s="14" t="s">
        <v>84</v>
      </c>
      <c r="E81" s="14" t="s">
        <v>48</v>
      </c>
      <c r="F81" s="16" t="n">
        <v>222541</v>
      </c>
      <c r="G81" s="16" t="n">
        <v>1038397</v>
      </c>
      <c r="H81" s="16" t="n">
        <v>509809</v>
      </c>
      <c r="I81" s="16" t="n">
        <v>528588</v>
      </c>
      <c r="J81" s="16" t="n">
        <v>263679</v>
      </c>
      <c r="K81" s="16" t="n">
        <v>122571</v>
      </c>
      <c r="L81" s="16" t="n">
        <v>141108</v>
      </c>
      <c r="M81" s="3" t="n">
        <v>0.035</v>
      </c>
      <c r="N81" s="4" t="n">
        <f aca="false">M81*100000</f>
        <v>3500</v>
      </c>
      <c r="O81" s="2" t="n">
        <v>65</v>
      </c>
      <c r="P81" s="2" t="n">
        <v>62</v>
      </c>
      <c r="Q81" s="6" t="n">
        <v>127</v>
      </c>
      <c r="R81" s="6" t="n">
        <v>12.23</v>
      </c>
      <c r="S81" s="17" t="n">
        <v>124</v>
      </c>
      <c r="T81" s="18" t="n">
        <f aca="false">(S81/J81)*100000</f>
        <v>47.0268773774172</v>
      </c>
      <c r="U81" s="19" t="n">
        <v>389</v>
      </c>
      <c r="V81" s="19" t="n">
        <v>22</v>
      </c>
      <c r="W81" s="19" t="n">
        <v>26</v>
      </c>
      <c r="X81" s="19" t="n">
        <v>1510</v>
      </c>
      <c r="Y81" s="19" t="n">
        <v>1602</v>
      </c>
      <c r="Z81" s="20" t="n">
        <f aca="false">(Y81/G81)*100000</f>
        <v>154.276254650196</v>
      </c>
      <c r="AA81" s="2" t="n">
        <v>358</v>
      </c>
      <c r="AB81" s="6" t="n">
        <v>114</v>
      </c>
      <c r="AC81" s="4" t="n">
        <f aca="false">(AB81/G81)*100000</f>
        <v>10.9784600687406</v>
      </c>
      <c r="AD81" s="6" t="n">
        <v>1471</v>
      </c>
      <c r="AE81" s="4" t="n">
        <f aca="false">(AD81/G81)*100000</f>
        <v>141.660655799275</v>
      </c>
      <c r="AF81" s="6" t="n">
        <v>422</v>
      </c>
      <c r="AG81" s="6" t="n">
        <v>156</v>
      </c>
      <c r="AH81" s="6" t="n">
        <v>85</v>
      </c>
      <c r="AI81" s="4" t="n">
        <f aca="false">(AH81/G81)*100000</f>
        <v>8.18569391090306</v>
      </c>
      <c r="AJ81" s="5" t="n">
        <f aca="false">Y81/J81</f>
        <v>0.00607556915795342</v>
      </c>
      <c r="AK81" s="2" t="n">
        <f aca="false">(Q81/Y81)*100000</f>
        <v>7927.59051186018</v>
      </c>
      <c r="AL81" s="2" t="n">
        <v>676</v>
      </c>
      <c r="AM81" s="4" t="n">
        <f aca="false">(AL81/G81)*100000</f>
        <v>65.1003421620055</v>
      </c>
      <c r="AN81" s="4" t="n">
        <f aca="false">1105.08-AM81</f>
        <v>1039.97965783799</v>
      </c>
      <c r="AO81" s="6" t="n">
        <v>0.86</v>
      </c>
      <c r="AP81" s="6" t="n">
        <v>0.118</v>
      </c>
      <c r="AQ81" s="4" t="n">
        <f aca="false">J81/G81</f>
        <v>0.25392889232153</v>
      </c>
    </row>
    <row r="82" customFormat="false" ht="15" hidden="false" customHeight="false" outlineLevel="0" collapsed="false">
      <c r="A82" s="14" t="n">
        <v>47001</v>
      </c>
      <c r="B82" s="15" t="n">
        <v>47</v>
      </c>
      <c r="C82" s="15" t="s">
        <v>85</v>
      </c>
      <c r="D82" s="14" t="s">
        <v>86</v>
      </c>
      <c r="E82" s="14" t="s">
        <v>45</v>
      </c>
      <c r="F82" s="16" t="n">
        <v>530107</v>
      </c>
      <c r="G82" s="16" t="n">
        <v>1426023</v>
      </c>
      <c r="H82" s="16" t="n">
        <v>713399</v>
      </c>
      <c r="I82" s="16" t="n">
        <v>712624</v>
      </c>
      <c r="J82" s="16" t="n">
        <v>458377</v>
      </c>
      <c r="K82" s="16" t="n">
        <v>222641</v>
      </c>
      <c r="L82" s="16" t="n">
        <v>235736</v>
      </c>
      <c r="M82" s="3" t="n">
        <v>0.0436643835616438</v>
      </c>
      <c r="N82" s="4" t="n">
        <f aca="false">M82*100000</f>
        <v>4366.43835616438</v>
      </c>
      <c r="O82" s="2" t="n">
        <v>183</v>
      </c>
      <c r="P82" s="2" t="n">
        <v>141</v>
      </c>
      <c r="Q82" s="6" t="n">
        <v>324</v>
      </c>
      <c r="R82" s="6" t="n">
        <v>22.72</v>
      </c>
      <c r="S82" s="17" t="n">
        <v>320</v>
      </c>
      <c r="T82" s="18" t="n">
        <f aca="false">(S82/J82)*100000</f>
        <v>69.8115306832585</v>
      </c>
      <c r="U82" s="19" t="n">
        <v>729</v>
      </c>
      <c r="V82" s="19" t="n">
        <v>135</v>
      </c>
      <c r="W82" s="19" t="n">
        <v>143</v>
      </c>
      <c r="X82" s="19" t="n">
        <v>3080</v>
      </c>
      <c r="Y82" s="19" t="n">
        <v>3316</v>
      </c>
      <c r="Z82" s="20" t="n">
        <f aca="false">(Y82/G82)*100000</f>
        <v>232.53481886337</v>
      </c>
      <c r="AA82" s="2" t="n">
        <v>904</v>
      </c>
      <c r="AB82" s="6" t="n">
        <v>221</v>
      </c>
      <c r="AC82" s="4" t="n">
        <f aca="false">(AB82/G82)*100000</f>
        <v>15.4976462511474</v>
      </c>
      <c r="AD82" s="6" t="n">
        <v>2984</v>
      </c>
      <c r="AE82" s="4" t="n">
        <f aca="false">(AD82/G82)*100000</f>
        <v>209.25328693857</v>
      </c>
      <c r="AF82" s="6" t="n">
        <v>953</v>
      </c>
      <c r="AG82" s="6" t="n">
        <v>351</v>
      </c>
      <c r="AH82" s="6" t="n">
        <v>205</v>
      </c>
      <c r="AI82" s="4" t="n">
        <f aca="false">(AH82/G82)*100000</f>
        <v>14.3756447126028</v>
      </c>
      <c r="AJ82" s="5" t="n">
        <f aca="false">Y82/J82</f>
        <v>0.00723421986705267</v>
      </c>
      <c r="AK82" s="2" t="n">
        <f aca="false">(Q82/Y82)*100000</f>
        <v>9770.8082026538</v>
      </c>
      <c r="AL82" s="2" t="n">
        <v>979</v>
      </c>
      <c r="AM82" s="4" t="n">
        <f aca="false">(AL82/G82)*100000</f>
        <v>68.6524691396983</v>
      </c>
      <c r="AN82" s="4" t="n">
        <f aca="false">1105.08-AM82</f>
        <v>1036.4275308603</v>
      </c>
      <c r="AO82" s="6" t="n">
        <v>0.913</v>
      </c>
      <c r="AP82" s="6" t="n">
        <v>0.125</v>
      </c>
      <c r="AQ82" s="4" t="n">
        <f aca="false">J82/G82</f>
        <v>0.321437312020914</v>
      </c>
    </row>
    <row r="83" customFormat="false" ht="15" hidden="false" customHeight="false" outlineLevel="0" collapsed="false">
      <c r="A83" s="14" t="n">
        <v>47001</v>
      </c>
      <c r="B83" s="15" t="n">
        <v>47</v>
      </c>
      <c r="C83" s="15" t="s">
        <v>85</v>
      </c>
      <c r="D83" s="14" t="s">
        <v>86</v>
      </c>
      <c r="E83" s="14" t="s">
        <v>46</v>
      </c>
      <c r="F83" s="16" t="n">
        <v>540204</v>
      </c>
      <c r="G83" s="16" t="n">
        <v>1454154</v>
      </c>
      <c r="H83" s="16" t="n">
        <v>727037</v>
      </c>
      <c r="I83" s="16" t="n">
        <v>727117</v>
      </c>
      <c r="J83" s="16" t="n">
        <v>472541</v>
      </c>
      <c r="K83" s="16" t="n">
        <v>229082</v>
      </c>
      <c r="L83" s="16" t="n">
        <v>243459</v>
      </c>
      <c r="M83" s="3" t="n">
        <v>0.0304826418289585</v>
      </c>
      <c r="N83" s="4" t="n">
        <f aca="false">M83*100000</f>
        <v>3048.26418289585</v>
      </c>
      <c r="O83" s="2" t="n">
        <v>183</v>
      </c>
      <c r="P83" s="2" t="n">
        <v>117</v>
      </c>
      <c r="Q83" s="6" t="n">
        <v>300</v>
      </c>
      <c r="R83" s="6" t="n">
        <v>20.63</v>
      </c>
      <c r="S83" s="17" t="n">
        <v>299</v>
      </c>
      <c r="T83" s="18" t="n">
        <f aca="false">(S83/J83)*100000</f>
        <v>63.2749327571576</v>
      </c>
      <c r="U83" s="19" t="n">
        <v>807</v>
      </c>
      <c r="V83" s="19" t="n">
        <v>96</v>
      </c>
      <c r="W83" s="19" t="n">
        <v>57</v>
      </c>
      <c r="X83" s="19" t="n">
        <v>3429</v>
      </c>
      <c r="Y83" s="19" t="n">
        <v>3683</v>
      </c>
      <c r="Z83" s="20" t="n">
        <f aca="false">(Y83/G83)*100000</f>
        <v>253.274412476258</v>
      </c>
      <c r="AA83" s="2" t="n">
        <v>1045</v>
      </c>
      <c r="AB83" s="6" t="n">
        <v>215</v>
      </c>
      <c r="AC83" s="4" t="n">
        <f aca="false">(AB83/G83)*100000</f>
        <v>14.7852290747748</v>
      </c>
      <c r="AD83" s="6" t="n">
        <v>3390</v>
      </c>
      <c r="AE83" s="4" t="n">
        <f aca="false">(AD83/G83)*100000</f>
        <v>233.125239830169</v>
      </c>
      <c r="AF83" s="6" t="n">
        <v>928</v>
      </c>
      <c r="AG83" s="6" t="n">
        <v>169</v>
      </c>
      <c r="AH83" s="6" t="n">
        <v>155</v>
      </c>
      <c r="AI83" s="4" t="n">
        <f aca="false">(AH83/G83)*100000</f>
        <v>10.6591186353027</v>
      </c>
      <c r="AJ83" s="5" t="n">
        <f aca="false">Y83/J83</f>
        <v>0.00779403268711075</v>
      </c>
      <c r="AK83" s="2" t="n">
        <f aca="false">(Q83/Y83)*100000</f>
        <v>8145.53353244638</v>
      </c>
      <c r="AL83" s="2" t="n">
        <v>1441</v>
      </c>
      <c r="AM83" s="4" t="n">
        <f aca="false">(AL83/G83)*100000</f>
        <v>99.0954190546531</v>
      </c>
      <c r="AN83" s="4" t="n">
        <f aca="false">1105.08-AM83</f>
        <v>1005.98458094535</v>
      </c>
      <c r="AO83" s="6" t="n">
        <v>0.913</v>
      </c>
      <c r="AP83" s="6" t="n">
        <v>0.133</v>
      </c>
      <c r="AQ83" s="4" t="n">
        <f aca="false">J83/G83</f>
        <v>0.324959392196425</v>
      </c>
    </row>
    <row r="84" customFormat="false" ht="15" hidden="false" customHeight="false" outlineLevel="0" collapsed="false">
      <c r="A84" s="14" t="n">
        <v>47001</v>
      </c>
      <c r="B84" s="15" t="n">
        <v>47</v>
      </c>
      <c r="C84" s="15" t="s">
        <v>85</v>
      </c>
      <c r="D84" s="14" t="s">
        <v>86</v>
      </c>
      <c r="E84" s="14" t="s">
        <v>47</v>
      </c>
      <c r="F84" s="16" t="n">
        <v>548202</v>
      </c>
      <c r="G84" s="16" t="n">
        <v>1476366</v>
      </c>
      <c r="H84" s="16" t="n">
        <v>737830</v>
      </c>
      <c r="I84" s="16" t="n">
        <v>738536</v>
      </c>
      <c r="J84" s="16" t="n">
        <v>485572</v>
      </c>
      <c r="K84" s="16" t="n">
        <v>235040</v>
      </c>
      <c r="L84" s="16" t="n">
        <v>250532</v>
      </c>
      <c r="M84" s="3" t="n">
        <v>0.0265339966832504</v>
      </c>
      <c r="N84" s="4" t="n">
        <f aca="false">M84*100000</f>
        <v>2653.39966832504</v>
      </c>
      <c r="O84" s="2" t="n">
        <v>186</v>
      </c>
      <c r="P84" s="2" t="n">
        <v>150</v>
      </c>
      <c r="Q84" s="6" t="n">
        <v>336</v>
      </c>
      <c r="R84" s="6" t="n">
        <v>22.76</v>
      </c>
      <c r="S84" s="17" t="n">
        <v>334</v>
      </c>
      <c r="T84" s="18" t="n">
        <f aca="false">(S84/J84)*100000</f>
        <v>68.7848557989341</v>
      </c>
      <c r="U84" s="19" t="n">
        <v>952</v>
      </c>
      <c r="V84" s="19" t="n">
        <v>184</v>
      </c>
      <c r="W84" s="19" t="n">
        <v>110</v>
      </c>
      <c r="X84" s="19" t="n">
        <v>3519</v>
      </c>
      <c r="Y84" s="19" t="n">
        <v>3753</v>
      </c>
      <c r="Z84" s="20" t="n">
        <f aca="false">(Y84/G84)*100000</f>
        <v>254.205258045769</v>
      </c>
      <c r="AA84" s="2" t="n">
        <v>1103</v>
      </c>
      <c r="AB84" s="6" t="n">
        <v>288</v>
      </c>
      <c r="AC84" s="4" t="n">
        <f aca="false">(AB84/G84)*100000</f>
        <v>19.5073579315698</v>
      </c>
      <c r="AD84" s="6" t="n">
        <v>3456</v>
      </c>
      <c r="AE84" s="4" t="n">
        <f aca="false">(AD84/G84)*100000</f>
        <v>234.088295178838</v>
      </c>
      <c r="AF84" s="6" t="n">
        <v>1185</v>
      </c>
      <c r="AG84" s="6" t="n">
        <v>314</v>
      </c>
      <c r="AH84" s="6" t="n">
        <v>286</v>
      </c>
      <c r="AI84" s="4" t="n">
        <f aca="false">(AH84/G84)*100000</f>
        <v>19.3718901681561</v>
      </c>
      <c r="AJ84" s="5" t="n">
        <f aca="false">Y84/J84</f>
        <v>0.00772902885668861</v>
      </c>
      <c r="AK84" s="2" t="n">
        <f aca="false">(Q84/Y84)*100000</f>
        <v>8952.83772981615</v>
      </c>
      <c r="AL84" s="2" t="n">
        <v>1508</v>
      </c>
      <c r="AM84" s="4" t="n">
        <f aca="false">(AL84/G84)*100000</f>
        <v>102.142693613914</v>
      </c>
      <c r="AN84" s="4" t="n">
        <f aca="false">1105.08-AM84</f>
        <v>1002.93730638609</v>
      </c>
      <c r="AO84" s="6" t="n">
        <v>0.926</v>
      </c>
      <c r="AP84" s="6" t="n">
        <v>0.104</v>
      </c>
      <c r="AQ84" s="4" t="n">
        <f aca="false">J84/G84</f>
        <v>0.328896764081535</v>
      </c>
    </row>
    <row r="85" customFormat="false" ht="15" hidden="false" customHeight="false" outlineLevel="0" collapsed="false">
      <c r="A85" s="14" t="n">
        <v>47001</v>
      </c>
      <c r="B85" s="15" t="n">
        <v>47</v>
      </c>
      <c r="C85" s="15" t="s">
        <v>85</v>
      </c>
      <c r="D85" s="14" t="s">
        <v>86</v>
      </c>
      <c r="E85" s="14" t="s">
        <v>48</v>
      </c>
      <c r="F85" s="16" t="n">
        <v>555030</v>
      </c>
      <c r="G85" s="16" t="n">
        <v>1496163</v>
      </c>
      <c r="H85" s="16" t="n">
        <v>747566</v>
      </c>
      <c r="I85" s="16" t="n">
        <v>748597</v>
      </c>
      <c r="J85" s="16" t="n">
        <v>498967</v>
      </c>
      <c r="K85" s="16" t="n">
        <v>241278</v>
      </c>
      <c r="L85" s="16" t="n">
        <v>257689</v>
      </c>
      <c r="M85" s="3" t="n">
        <v>0.0337171052631579</v>
      </c>
      <c r="N85" s="4" t="n">
        <f aca="false">M85*100000</f>
        <v>3371.71052631579</v>
      </c>
      <c r="O85" s="2" t="n">
        <v>196</v>
      </c>
      <c r="P85" s="2" t="n">
        <v>141</v>
      </c>
      <c r="Q85" s="6" t="n">
        <v>337</v>
      </c>
      <c r="R85" s="6" t="n">
        <v>22.52</v>
      </c>
      <c r="S85" s="17" t="n">
        <v>336</v>
      </c>
      <c r="T85" s="18" t="n">
        <f aca="false">(S85/J85)*100000</f>
        <v>67.3391226273481</v>
      </c>
      <c r="U85" s="19" t="n">
        <v>1156</v>
      </c>
      <c r="V85" s="19" t="n">
        <v>188</v>
      </c>
      <c r="W85" s="19" t="n">
        <v>209</v>
      </c>
      <c r="X85" s="19" t="n">
        <v>3944</v>
      </c>
      <c r="Y85" s="19" t="n">
        <v>4246</v>
      </c>
      <c r="Z85" s="20" t="n">
        <f aca="false">(Y85/G85)*100000</f>
        <v>283.792608158336</v>
      </c>
      <c r="AA85" s="2" t="n">
        <v>1160</v>
      </c>
      <c r="AB85" s="6" t="n">
        <v>414</v>
      </c>
      <c r="AC85" s="4" t="n">
        <f aca="false">(AB85/G85)*100000</f>
        <v>27.6707818599979</v>
      </c>
      <c r="AD85" s="6" t="n">
        <v>3886</v>
      </c>
      <c r="AE85" s="4" t="n">
        <f aca="false">(AD85/G85)*100000</f>
        <v>259.731058714859</v>
      </c>
      <c r="AF85" s="6" t="n">
        <v>1471</v>
      </c>
      <c r="AG85" s="6" t="n">
        <v>338</v>
      </c>
      <c r="AH85" s="6" t="n">
        <v>261</v>
      </c>
      <c r="AI85" s="4" t="n">
        <f aca="false">(AH85/G85)*100000</f>
        <v>17.4446233465204</v>
      </c>
      <c r="AJ85" s="5" t="n">
        <f aca="false">Y85/J85</f>
        <v>0.00850958079392024</v>
      </c>
      <c r="AK85" s="2" t="n">
        <f aca="false">(Q85/Y85)*100000</f>
        <v>7936.88177107866</v>
      </c>
      <c r="AL85" s="2" t="n">
        <v>2067</v>
      </c>
      <c r="AM85" s="4" t="n">
        <f aca="false">(AL85/G85)*100000</f>
        <v>138.15339638796</v>
      </c>
      <c r="AN85" s="4" t="n">
        <f aca="false">1105.08-AM85</f>
        <v>966.92660361204</v>
      </c>
      <c r="AO85" s="6" t="n">
        <v>0.929</v>
      </c>
      <c r="AP85" s="6" t="n">
        <v>0.098</v>
      </c>
      <c r="AQ85" s="4" t="n">
        <f aca="false">J85/G85</f>
        <v>0.333497753921197</v>
      </c>
    </row>
    <row r="86" customFormat="false" ht="15" hidden="false" customHeight="false" outlineLevel="0" collapsed="false">
      <c r="A86" s="14" t="n">
        <v>50001</v>
      </c>
      <c r="B86" s="15" t="n">
        <v>50</v>
      </c>
      <c r="C86" s="15" t="s">
        <v>87</v>
      </c>
      <c r="D86" s="14" t="s">
        <v>88</v>
      </c>
      <c r="E86" s="14" t="s">
        <v>45</v>
      </c>
      <c r="F86" s="16" t="n">
        <v>553409</v>
      </c>
      <c r="G86" s="16" t="n">
        <v>1082032</v>
      </c>
      <c r="H86" s="16" t="n">
        <v>545923</v>
      </c>
      <c r="I86" s="16" t="n">
        <v>536109</v>
      </c>
      <c r="J86" s="16" t="n">
        <v>370423</v>
      </c>
      <c r="K86" s="16" t="n">
        <v>182671</v>
      </c>
      <c r="L86" s="16" t="n">
        <v>187752</v>
      </c>
      <c r="M86" s="3" t="n">
        <v>0.0538720538720539</v>
      </c>
      <c r="N86" s="4" t="n">
        <f aca="false">M86*100000</f>
        <v>5387.20538720539</v>
      </c>
      <c r="O86" s="2" t="n">
        <v>114</v>
      </c>
      <c r="P86" s="2" t="n">
        <v>89</v>
      </c>
      <c r="Q86" s="6" t="n">
        <v>203</v>
      </c>
      <c r="R86" s="6" t="n">
        <v>18.76</v>
      </c>
      <c r="S86" s="17" t="n">
        <v>200</v>
      </c>
      <c r="T86" s="18" t="n">
        <f aca="false">(S86/J86)*100000</f>
        <v>53.9923276902352</v>
      </c>
      <c r="U86" s="19" t="n">
        <v>578</v>
      </c>
      <c r="V86" s="19" t="n">
        <v>174</v>
      </c>
      <c r="W86" s="19" t="n">
        <v>215</v>
      </c>
      <c r="X86" s="19" t="n">
        <v>3079</v>
      </c>
      <c r="Y86" s="19" t="n">
        <v>3270</v>
      </c>
      <c r="Z86" s="20" t="n">
        <f aca="false">(Y86/G86)*100000</f>
        <v>302.20917680808</v>
      </c>
      <c r="AA86" s="2" t="n">
        <v>1751</v>
      </c>
      <c r="AB86" s="6" t="n">
        <v>212</v>
      </c>
      <c r="AC86" s="4" t="n">
        <f aca="false">(AB86/G86)*100000</f>
        <v>19.592766202848</v>
      </c>
      <c r="AD86" s="6" t="n">
        <v>3028</v>
      </c>
      <c r="AE86" s="4" t="n">
        <f aca="false">(AD86/G86)*100000</f>
        <v>279.843849350112</v>
      </c>
      <c r="AF86" s="6" t="n">
        <v>857</v>
      </c>
      <c r="AG86" s="6" t="n">
        <v>133</v>
      </c>
      <c r="AH86" s="6" t="n">
        <v>246</v>
      </c>
      <c r="AI86" s="4" t="n">
        <f aca="false">(AH86/G86)*100000</f>
        <v>22.735002291984</v>
      </c>
      <c r="AJ86" s="5" t="n">
        <f aca="false">Y86/J86</f>
        <v>0.00882774557735346</v>
      </c>
      <c r="AK86" s="2" t="n">
        <f aca="false">(Q86/Y86)*100000</f>
        <v>6207.95107033639</v>
      </c>
      <c r="AL86" s="2" t="n">
        <v>1034</v>
      </c>
      <c r="AM86" s="4" t="n">
        <f aca="false">(AL86/G86)*100000</f>
        <v>95.5609445931359</v>
      </c>
      <c r="AN86" s="4" t="n">
        <f aca="false">1105.08-AM86</f>
        <v>1009.51905540686</v>
      </c>
      <c r="AO86" s="6" t="n">
        <v>0.699</v>
      </c>
      <c r="AP86" s="6" t="n">
        <v>0.381</v>
      </c>
      <c r="AQ86" s="4" t="n">
        <f aca="false">J86/G86</f>
        <v>0.342340152601772</v>
      </c>
    </row>
    <row r="87" customFormat="false" ht="15" hidden="false" customHeight="false" outlineLevel="0" collapsed="false">
      <c r="A87" s="14" t="n">
        <v>50001</v>
      </c>
      <c r="B87" s="15" t="n">
        <v>50</v>
      </c>
      <c r="C87" s="15" t="s">
        <v>87</v>
      </c>
      <c r="D87" s="14" t="s">
        <v>88</v>
      </c>
      <c r="E87" s="14" t="s">
        <v>46</v>
      </c>
      <c r="F87" s="16" t="n">
        <v>561834</v>
      </c>
      <c r="G87" s="16" t="n">
        <v>1098104</v>
      </c>
      <c r="H87" s="16" t="n">
        <v>553223</v>
      </c>
      <c r="I87" s="16" t="n">
        <v>544881</v>
      </c>
      <c r="J87" s="16" t="n">
        <v>381875</v>
      </c>
      <c r="K87" s="16" t="n">
        <v>187885</v>
      </c>
      <c r="L87" s="16" t="n">
        <v>193990</v>
      </c>
      <c r="M87" s="3" t="n">
        <v>0.0653377630121816</v>
      </c>
      <c r="N87" s="4" t="n">
        <f aca="false">M87*100000</f>
        <v>6533.77630121816</v>
      </c>
      <c r="O87" s="2" t="n">
        <v>108</v>
      </c>
      <c r="P87" s="2" t="n">
        <v>81</v>
      </c>
      <c r="Q87" s="6" t="n">
        <v>189</v>
      </c>
      <c r="R87" s="6" t="n">
        <v>17.21</v>
      </c>
      <c r="S87" s="17" t="n">
        <v>188</v>
      </c>
      <c r="T87" s="18" t="n">
        <f aca="false">(S87/J87)*100000</f>
        <v>49.2307692307692</v>
      </c>
      <c r="U87" s="19" t="n">
        <v>553</v>
      </c>
      <c r="V87" s="19" t="n">
        <v>83</v>
      </c>
      <c r="W87" s="19" t="n">
        <v>128</v>
      </c>
      <c r="X87" s="19" t="n">
        <v>2696</v>
      </c>
      <c r="Y87" s="19" t="n">
        <v>2890</v>
      </c>
      <c r="Z87" s="20" t="n">
        <f aca="false">(Y87/G87)*100000</f>
        <v>263.180900898276</v>
      </c>
      <c r="AA87" s="2" t="n">
        <v>1524</v>
      </c>
      <c r="AB87" s="6" t="n">
        <v>271</v>
      </c>
      <c r="AC87" s="4" t="n">
        <f aca="false">(AB87/G87)*100000</f>
        <v>24.678901087693</v>
      </c>
      <c r="AD87" s="6" t="n">
        <v>2664</v>
      </c>
      <c r="AE87" s="4" t="n">
        <f aca="false">(AD87/G87)*100000</f>
        <v>242.599972315919</v>
      </c>
      <c r="AF87" s="6" t="n">
        <v>692</v>
      </c>
      <c r="AG87" s="6" t="n">
        <v>79</v>
      </c>
      <c r="AH87" s="6" t="n">
        <v>163</v>
      </c>
      <c r="AI87" s="4" t="n">
        <f aca="false">(AH87/G87)*100000</f>
        <v>14.8437670748854</v>
      </c>
      <c r="AJ87" s="5" t="n">
        <f aca="false">Y87/J87</f>
        <v>0.00756792144026187</v>
      </c>
      <c r="AK87" s="2" t="n">
        <f aca="false">(Q87/Y87)*100000</f>
        <v>6539.79238754325</v>
      </c>
      <c r="AL87" s="2" t="n">
        <v>1664</v>
      </c>
      <c r="AM87" s="4" t="n">
        <f aca="false">(AL87/G87)*100000</f>
        <v>151.533916641775</v>
      </c>
      <c r="AN87" s="4" t="n">
        <f aca="false">1105.08-AM87</f>
        <v>953.546083358225</v>
      </c>
      <c r="AO87" s="6" t="n">
        <v>0.894</v>
      </c>
      <c r="AP87" s="6" t="n">
        <v>0.303</v>
      </c>
      <c r="AQ87" s="4" t="n">
        <f aca="false">J87/G87</f>
        <v>0.347758500105637</v>
      </c>
    </row>
    <row r="88" customFormat="false" ht="15" hidden="false" customHeight="false" outlineLevel="0" collapsed="false">
      <c r="A88" s="14" t="n">
        <v>50001</v>
      </c>
      <c r="B88" s="15" t="n">
        <v>50</v>
      </c>
      <c r="C88" s="15" t="s">
        <v>87</v>
      </c>
      <c r="D88" s="14" t="s">
        <v>88</v>
      </c>
      <c r="E88" s="14" t="s">
        <v>47</v>
      </c>
      <c r="F88" s="16" t="n">
        <v>569806</v>
      </c>
      <c r="G88" s="16" t="n">
        <v>1113810</v>
      </c>
      <c r="H88" s="16" t="n">
        <v>560315</v>
      </c>
      <c r="I88" s="16" t="n">
        <v>553495</v>
      </c>
      <c r="J88" s="16" t="n">
        <v>393611</v>
      </c>
      <c r="K88" s="16" t="n">
        <v>193265</v>
      </c>
      <c r="L88" s="16" t="n">
        <v>200346</v>
      </c>
      <c r="M88" s="3" t="n">
        <v>0.0693069306930693</v>
      </c>
      <c r="N88" s="4" t="n">
        <f aca="false">M88*100000</f>
        <v>6930.69306930693</v>
      </c>
      <c r="O88" s="2" t="n">
        <v>200</v>
      </c>
      <c r="P88" s="2" t="n">
        <v>126</v>
      </c>
      <c r="Q88" s="6" t="n">
        <v>326</v>
      </c>
      <c r="R88" s="6" t="n">
        <v>29.27</v>
      </c>
      <c r="S88" s="17" t="n">
        <v>321</v>
      </c>
      <c r="T88" s="18" t="n">
        <f aca="false">(S88/J88)*100000</f>
        <v>81.5525988857019</v>
      </c>
      <c r="U88" s="19" t="n">
        <v>567</v>
      </c>
      <c r="V88" s="19" t="n">
        <v>108</v>
      </c>
      <c r="W88" s="19" t="n">
        <v>196</v>
      </c>
      <c r="X88" s="19" t="n">
        <v>2903</v>
      </c>
      <c r="Y88" s="19" t="n">
        <v>3193</v>
      </c>
      <c r="Z88" s="20" t="n">
        <f aca="false">(Y88/G88)*100000</f>
        <v>286.673669656405</v>
      </c>
      <c r="AA88" s="2" t="n">
        <v>1616</v>
      </c>
      <c r="AB88" s="6" t="n">
        <v>147</v>
      </c>
      <c r="AC88" s="4" t="n">
        <f aca="false">(AB88/G88)*100000</f>
        <v>13.1979421984001</v>
      </c>
      <c r="AD88" s="6" t="n">
        <v>2866</v>
      </c>
      <c r="AE88" s="4" t="n">
        <f aca="false">(AD88/G88)*100000</f>
        <v>257.314981908943</v>
      </c>
      <c r="AF88" s="6" t="n">
        <v>794</v>
      </c>
      <c r="AG88" s="6" t="n">
        <v>200</v>
      </c>
      <c r="AH88" s="6" t="n">
        <v>304</v>
      </c>
      <c r="AI88" s="4" t="n">
        <f aca="false">(AH88/G88)*100000</f>
        <v>27.2937035939702</v>
      </c>
      <c r="AJ88" s="5" t="n">
        <f aca="false">Y88/J88</f>
        <v>0.00811207003869302</v>
      </c>
      <c r="AK88" s="2" t="n">
        <f aca="false">(Q88/Y88)*100000</f>
        <v>10209.834011901</v>
      </c>
      <c r="AL88" s="2" t="n">
        <v>1093</v>
      </c>
      <c r="AM88" s="4" t="n">
        <f aca="false">(AL88/G88)*100000</f>
        <v>98.1316382506891</v>
      </c>
      <c r="AN88" s="4" t="n">
        <f aca="false">1105.08-AM88</f>
        <v>1006.94836174931</v>
      </c>
      <c r="AO88" s="6" t="n">
        <v>0.868</v>
      </c>
      <c r="AP88" s="6" t="n">
        <v>0.26</v>
      </c>
      <c r="AQ88" s="4" t="n">
        <f aca="false">J88/G88</f>
        <v>0.35339151201731</v>
      </c>
    </row>
    <row r="89" customFormat="false" ht="15" hidden="false" customHeight="false" outlineLevel="0" collapsed="false">
      <c r="A89" s="14" t="n">
        <v>50001</v>
      </c>
      <c r="B89" s="15" t="n">
        <v>50</v>
      </c>
      <c r="C89" s="15" t="s">
        <v>87</v>
      </c>
      <c r="D89" s="14" t="s">
        <v>88</v>
      </c>
      <c r="E89" s="14" t="s">
        <v>48</v>
      </c>
      <c r="F89" s="16" t="n">
        <v>577875</v>
      </c>
      <c r="G89" s="16" t="n">
        <v>1130085</v>
      </c>
      <c r="H89" s="16" t="n">
        <v>567823</v>
      </c>
      <c r="I89" s="16" t="n">
        <v>562262</v>
      </c>
      <c r="J89" s="16" t="n">
        <v>406151</v>
      </c>
      <c r="K89" s="16" t="n">
        <v>199130</v>
      </c>
      <c r="L89" s="16" t="n">
        <v>207021</v>
      </c>
      <c r="M89" s="3" t="n">
        <v>0.0727470141150923</v>
      </c>
      <c r="N89" s="4" t="n">
        <f aca="false">M89*100000</f>
        <v>7274.70141150923</v>
      </c>
      <c r="O89" s="2" t="n">
        <v>166</v>
      </c>
      <c r="P89" s="2" t="n">
        <v>131</v>
      </c>
      <c r="Q89" s="6" t="n">
        <v>297</v>
      </c>
      <c r="R89" s="6" t="n">
        <v>26.28</v>
      </c>
      <c r="S89" s="17" t="n">
        <v>292</v>
      </c>
      <c r="T89" s="18" t="n">
        <f aca="false">(S89/J89)*100000</f>
        <v>71.8944431996967</v>
      </c>
      <c r="U89" s="19" t="n">
        <v>1077</v>
      </c>
      <c r="V89" s="19" t="n">
        <v>90</v>
      </c>
      <c r="W89" s="19" t="n">
        <v>240</v>
      </c>
      <c r="X89" s="19" t="n">
        <v>2712</v>
      </c>
      <c r="Y89" s="19" t="n">
        <v>3244</v>
      </c>
      <c r="Z89" s="20" t="n">
        <f aca="false">(Y89/G89)*100000</f>
        <v>287.058053155294</v>
      </c>
      <c r="AA89" s="2" t="n">
        <v>1553</v>
      </c>
      <c r="AB89" s="6" t="n">
        <v>383</v>
      </c>
      <c r="AC89" s="4" t="n">
        <f aca="false">(AB89/G89)*100000</f>
        <v>33.8912559674715</v>
      </c>
      <c r="AD89" s="6" t="n">
        <v>2670</v>
      </c>
      <c r="AE89" s="4" t="n">
        <f aca="false">(AD89/G89)*100000</f>
        <v>236.265413663574</v>
      </c>
      <c r="AF89" s="6" t="n">
        <v>1313</v>
      </c>
      <c r="AG89" s="6" t="n">
        <v>142</v>
      </c>
      <c r="AH89" s="6" t="n">
        <v>251</v>
      </c>
      <c r="AI89" s="4" t="n">
        <f aca="false">(AH89/G89)*100000</f>
        <v>22.2107186627555</v>
      </c>
      <c r="AJ89" s="5" t="n">
        <f aca="false">Y89/J89</f>
        <v>0.00798717718287041</v>
      </c>
      <c r="AK89" s="2" t="n">
        <f aca="false">(Q89/Y89)*100000</f>
        <v>9155.36374845869</v>
      </c>
      <c r="AL89" s="2" t="n">
        <v>1612</v>
      </c>
      <c r="AM89" s="4" t="n">
        <f aca="false">(AL89/G89)*100000</f>
        <v>142.644137387896</v>
      </c>
      <c r="AN89" s="4" t="n">
        <f aca="false">1105.08-AM89</f>
        <v>962.435862612104</v>
      </c>
      <c r="AO89" s="6" t="n">
        <v>0.852</v>
      </c>
      <c r="AP89" s="6" t="n">
        <v>0.231</v>
      </c>
      <c r="AQ89" s="4" t="n">
        <f aca="false">J89/G89</f>
        <v>0.359398629306645</v>
      </c>
    </row>
    <row r="90" customFormat="false" ht="15" hidden="false" customHeight="false" outlineLevel="0" collapsed="false">
      <c r="A90" s="14" t="n">
        <v>52001</v>
      </c>
      <c r="B90" s="15" t="n">
        <v>52</v>
      </c>
      <c r="C90" s="15" t="s">
        <v>89</v>
      </c>
      <c r="D90" s="14" t="s">
        <v>90</v>
      </c>
      <c r="E90" s="14" t="s">
        <v>45</v>
      </c>
      <c r="F90" s="16" t="n">
        <v>402073</v>
      </c>
      <c r="G90" s="16" t="n">
        <v>1665454</v>
      </c>
      <c r="H90" s="16" t="n">
        <v>813861</v>
      </c>
      <c r="I90" s="16" t="n">
        <v>851593</v>
      </c>
      <c r="J90" s="16" t="n">
        <v>612588</v>
      </c>
      <c r="K90" s="16" t="n">
        <v>284315</v>
      </c>
      <c r="L90" s="16" t="n">
        <v>328273</v>
      </c>
      <c r="M90" s="3" t="n">
        <v>0.0529369108049311</v>
      </c>
      <c r="N90" s="4" t="n">
        <f aca="false">M90*100000</f>
        <v>5293.69108049311</v>
      </c>
      <c r="O90" s="2" t="n">
        <v>231</v>
      </c>
      <c r="P90" s="2" t="n">
        <v>170</v>
      </c>
      <c r="Q90" s="6" t="n">
        <v>401</v>
      </c>
      <c r="R90" s="6" t="n">
        <v>24.08</v>
      </c>
      <c r="S90" s="17" t="n">
        <v>398</v>
      </c>
      <c r="T90" s="18" t="n">
        <f aca="false">(S90/J90)*100000</f>
        <v>64.9702573344564</v>
      </c>
      <c r="U90" s="19" t="n">
        <v>1519</v>
      </c>
      <c r="V90" s="19" t="n">
        <v>357</v>
      </c>
      <c r="W90" s="19" t="n">
        <v>481</v>
      </c>
      <c r="X90" s="19" t="n">
        <v>5917</v>
      </c>
      <c r="Y90" s="19" t="n">
        <v>6619</v>
      </c>
      <c r="Z90" s="20" t="n">
        <f aca="false">(Y90/G90)*100000</f>
        <v>397.429169463702</v>
      </c>
      <c r="AA90" s="2" t="n">
        <v>2752</v>
      </c>
      <c r="AB90" s="6" t="n">
        <v>251</v>
      </c>
      <c r="AC90" s="4" t="n">
        <f aca="false">(AB90/G90)*100000</f>
        <v>15.0709656345957</v>
      </c>
      <c r="AD90" s="6" t="n">
        <v>5691</v>
      </c>
      <c r="AE90" s="4" t="n">
        <f aca="false">(AD90/G90)*100000</f>
        <v>341.708627197149</v>
      </c>
      <c r="AF90" s="6" t="n">
        <v>2165</v>
      </c>
      <c r="AG90" s="6" t="n">
        <v>799</v>
      </c>
      <c r="AH90" s="6" t="n">
        <v>521</v>
      </c>
      <c r="AI90" s="4" t="n">
        <f aca="false">(AH90/G90)*100000</f>
        <v>31.2827613371489</v>
      </c>
      <c r="AJ90" s="5" t="n">
        <f aca="false">Y90/J90</f>
        <v>0.0108049782235369</v>
      </c>
      <c r="AK90" s="2" t="n">
        <f aca="false">(Q90/Y90)*100000</f>
        <v>6058.31696630911</v>
      </c>
      <c r="AL90" s="2" t="n">
        <v>832</v>
      </c>
      <c r="AM90" s="4" t="n">
        <f aca="false">(AL90/G90)*100000</f>
        <v>49.9563482389787</v>
      </c>
      <c r="AN90" s="4" t="n">
        <f aca="false">1105.08-AM90</f>
        <v>1055.12365176102</v>
      </c>
      <c r="AO90" s="6" t="n">
        <v>0.89</v>
      </c>
      <c r="AP90" s="6" t="n">
        <v>0.19</v>
      </c>
      <c r="AQ90" s="4" t="n">
        <f aca="false">J90/G90</f>
        <v>0.367820426142061</v>
      </c>
    </row>
    <row r="91" customFormat="false" ht="15" hidden="false" customHeight="false" outlineLevel="0" collapsed="false">
      <c r="A91" s="14" t="n">
        <v>52001</v>
      </c>
      <c r="B91" s="15" t="n">
        <v>52</v>
      </c>
      <c r="C91" s="15" t="s">
        <v>89</v>
      </c>
      <c r="D91" s="14" t="s">
        <v>90</v>
      </c>
      <c r="E91" s="14" t="s">
        <v>46</v>
      </c>
      <c r="F91" s="16" t="n">
        <v>405730</v>
      </c>
      <c r="G91" s="16" t="n">
        <v>1678786</v>
      </c>
      <c r="H91" s="16" t="n">
        <v>819621</v>
      </c>
      <c r="I91" s="16" t="n">
        <v>859165</v>
      </c>
      <c r="J91" s="16" t="n">
        <v>625978</v>
      </c>
      <c r="K91" s="16" t="n">
        <v>289998</v>
      </c>
      <c r="L91" s="16" t="n">
        <v>335980</v>
      </c>
      <c r="M91" s="3" t="n">
        <v>0.0564399421128799</v>
      </c>
      <c r="N91" s="4" t="n">
        <f aca="false">M91*100000</f>
        <v>5643.99421128799</v>
      </c>
      <c r="O91" s="2" t="n">
        <v>228</v>
      </c>
      <c r="P91" s="2" t="n">
        <v>185</v>
      </c>
      <c r="Q91" s="6" t="n">
        <v>413</v>
      </c>
      <c r="R91" s="6" t="n">
        <v>24.6</v>
      </c>
      <c r="S91" s="17" t="n">
        <v>411</v>
      </c>
      <c r="T91" s="18" t="n">
        <f aca="false">(S91/J91)*100000</f>
        <v>65.6572595203026</v>
      </c>
      <c r="U91" s="19" t="n">
        <v>1758</v>
      </c>
      <c r="V91" s="19" t="n">
        <v>229</v>
      </c>
      <c r="W91" s="19" t="n">
        <v>404</v>
      </c>
      <c r="X91" s="19" t="n">
        <v>5202</v>
      </c>
      <c r="Y91" s="19" t="n">
        <v>6123</v>
      </c>
      <c r="Z91" s="20" t="n">
        <f aca="false">(Y91/G91)*100000</f>
        <v>364.727845002281</v>
      </c>
      <c r="AA91" s="2" t="n">
        <v>2418</v>
      </c>
      <c r="AB91" s="6" t="n">
        <v>458</v>
      </c>
      <c r="AC91" s="4" t="n">
        <f aca="false">(AB91/G91)*100000</f>
        <v>27.2816189794292</v>
      </c>
      <c r="AD91" s="6" t="n">
        <v>5043</v>
      </c>
      <c r="AE91" s="4" t="n">
        <f aca="false">(AD91/G91)*100000</f>
        <v>300.395643042055</v>
      </c>
      <c r="AF91" s="6" t="n">
        <v>2227</v>
      </c>
      <c r="AG91" s="6" t="n">
        <v>489</v>
      </c>
      <c r="AH91" s="6" t="n">
        <v>364</v>
      </c>
      <c r="AI91" s="4" t="n">
        <f aca="false">(AH91/G91)*100000</f>
        <v>21.6823347347428</v>
      </c>
      <c r="AJ91" s="5" t="n">
        <f aca="false">Y91/J91</f>
        <v>0.00978149391831662</v>
      </c>
      <c r="AK91" s="2" t="n">
        <f aca="false">(Q91/Y91)*100000</f>
        <v>6745.05961130165</v>
      </c>
      <c r="AL91" s="2" t="n">
        <v>1479</v>
      </c>
      <c r="AM91" s="4" t="n">
        <f aca="false">(AL91/G91)*100000</f>
        <v>88.0993765733095</v>
      </c>
      <c r="AN91" s="4" t="n">
        <f aca="false">1105.08-AM91</f>
        <v>1016.98062342669</v>
      </c>
      <c r="AO91" s="6" t="n">
        <v>0.874</v>
      </c>
      <c r="AP91" s="6" t="n">
        <v>0.166</v>
      </c>
      <c r="AQ91" s="4" t="n">
        <f aca="false">J91/G91</f>
        <v>0.372875399246837</v>
      </c>
    </row>
    <row r="92" customFormat="false" ht="15" hidden="false" customHeight="false" outlineLevel="0" collapsed="false">
      <c r="A92" s="14" t="n">
        <v>52001</v>
      </c>
      <c r="B92" s="15" t="n">
        <v>52</v>
      </c>
      <c r="C92" s="15" t="s">
        <v>89</v>
      </c>
      <c r="D92" s="14" t="s">
        <v>90</v>
      </c>
      <c r="E92" s="14" t="s">
        <v>47</v>
      </c>
      <c r="F92" s="16" t="n">
        <v>408358</v>
      </c>
      <c r="G92" s="16" t="n">
        <v>1689002</v>
      </c>
      <c r="H92" s="16" t="n">
        <v>823743</v>
      </c>
      <c r="I92" s="16" t="n">
        <v>865259</v>
      </c>
      <c r="J92" s="16" t="n">
        <v>638568</v>
      </c>
      <c r="K92" s="16" t="n">
        <v>295276</v>
      </c>
      <c r="L92" s="16" t="n">
        <v>343292</v>
      </c>
      <c r="M92" s="3" t="n">
        <v>0.0539956803455724</v>
      </c>
      <c r="N92" s="4" t="n">
        <f aca="false">M92*100000</f>
        <v>5399.56803455724</v>
      </c>
      <c r="O92" s="2" t="n">
        <v>274</v>
      </c>
      <c r="P92" s="2" t="n">
        <v>223</v>
      </c>
      <c r="Q92" s="6" t="n">
        <v>497</v>
      </c>
      <c r="R92" s="6" t="n">
        <v>29.43</v>
      </c>
      <c r="S92" s="17" t="n">
        <v>489</v>
      </c>
      <c r="T92" s="18" t="n">
        <f aca="false">(S92/J92)*100000</f>
        <v>76.577592362912</v>
      </c>
      <c r="U92" s="19" t="n">
        <v>1343</v>
      </c>
      <c r="V92" s="19" t="n">
        <v>67</v>
      </c>
      <c r="W92" s="19" t="n">
        <v>80</v>
      </c>
      <c r="X92" s="19" t="n">
        <v>2743</v>
      </c>
      <c r="Y92" s="19" t="n">
        <v>3474</v>
      </c>
      <c r="Z92" s="20" t="n">
        <f aca="false">(Y92/G92)*100000</f>
        <v>205.683593033046</v>
      </c>
      <c r="AA92" s="2" t="n">
        <v>1458</v>
      </c>
      <c r="AB92" s="6" t="n">
        <v>556</v>
      </c>
      <c r="AC92" s="4" t="n">
        <f aca="false">(AB92/G92)*100000</f>
        <v>32.9188479350528</v>
      </c>
      <c r="AD92" s="6" t="n">
        <v>2659</v>
      </c>
      <c r="AE92" s="4" t="n">
        <f aca="false">(AD92/G92)*100000</f>
        <v>157.430245790117</v>
      </c>
      <c r="AF92" s="6" t="n">
        <v>1463</v>
      </c>
      <c r="AG92" s="6" t="n">
        <v>219</v>
      </c>
      <c r="AH92" s="6" t="n">
        <v>300</v>
      </c>
      <c r="AI92" s="4" t="n">
        <f aca="false">(AH92/G92)*100000</f>
        <v>17.7619683102803</v>
      </c>
      <c r="AJ92" s="5" t="n">
        <f aca="false">Y92/J92</f>
        <v>0.00544029766602774</v>
      </c>
      <c r="AK92" s="2" t="n">
        <f aca="false">(Q92/Y92)*100000</f>
        <v>14306.2751871042</v>
      </c>
      <c r="AL92" s="2" t="n">
        <v>1854</v>
      </c>
      <c r="AM92" s="4" t="n">
        <f aca="false">(AL92/G92)*100000</f>
        <v>109.768964157532</v>
      </c>
      <c r="AN92" s="4" t="n">
        <f aca="false">1105.08-AM92</f>
        <v>995.311035842468</v>
      </c>
      <c r="AO92" s="6" t="n">
        <v>0.912</v>
      </c>
      <c r="AP92" s="6" t="n">
        <v>0.105</v>
      </c>
      <c r="AQ92" s="4" t="n">
        <f aca="false">J92/G92</f>
        <v>0.378074152665302</v>
      </c>
    </row>
    <row r="93" customFormat="false" ht="15" hidden="false" customHeight="false" outlineLevel="0" collapsed="false">
      <c r="A93" s="14" t="n">
        <v>52001</v>
      </c>
      <c r="B93" s="15" t="n">
        <v>52</v>
      </c>
      <c r="C93" s="15" t="s">
        <v>89</v>
      </c>
      <c r="D93" s="14" t="s">
        <v>90</v>
      </c>
      <c r="E93" s="14" t="s">
        <v>48</v>
      </c>
      <c r="F93" s="16" t="n">
        <v>410835</v>
      </c>
      <c r="G93" s="16" t="n">
        <v>1699570</v>
      </c>
      <c r="H93" s="16" t="n">
        <v>828257</v>
      </c>
      <c r="I93" s="16" t="n">
        <v>871313</v>
      </c>
      <c r="J93" s="16" t="n">
        <v>651766</v>
      </c>
      <c r="K93" s="16" t="n">
        <v>300961</v>
      </c>
      <c r="L93" s="16" t="n">
        <v>350805</v>
      </c>
      <c r="M93" s="3" t="n">
        <v>0.0675287356321839</v>
      </c>
      <c r="N93" s="4" t="n">
        <f aca="false">M93*100000</f>
        <v>6752.87356321839</v>
      </c>
      <c r="O93" s="2" t="n">
        <v>241</v>
      </c>
      <c r="P93" s="2" t="n">
        <v>196</v>
      </c>
      <c r="Q93" s="6" t="n">
        <v>437</v>
      </c>
      <c r="R93" s="6" t="n">
        <v>25.71</v>
      </c>
      <c r="S93" s="17" t="n">
        <v>435</v>
      </c>
      <c r="T93" s="18" t="n">
        <f aca="false">(S93/J93)*100000</f>
        <v>66.7417447366079</v>
      </c>
      <c r="U93" s="19" t="n">
        <v>2562</v>
      </c>
      <c r="V93" s="19" t="n">
        <v>81</v>
      </c>
      <c r="W93" s="19" t="n">
        <v>107</v>
      </c>
      <c r="X93" s="19" t="n">
        <v>2733</v>
      </c>
      <c r="Y93" s="19" t="n">
        <v>4810</v>
      </c>
      <c r="Z93" s="20" t="n">
        <f aca="false">(Y93/G93)*100000</f>
        <v>283.012762051578</v>
      </c>
      <c r="AA93" s="2" t="n">
        <v>1478</v>
      </c>
      <c r="AB93" s="6" t="n">
        <v>700</v>
      </c>
      <c r="AC93" s="4" t="n">
        <f aca="false">(AB93/G93)*100000</f>
        <v>41.1868884482546</v>
      </c>
      <c r="AD93" s="6" t="n">
        <v>2688</v>
      </c>
      <c r="AE93" s="4" t="n">
        <f aca="false">(AD93/G93)*100000</f>
        <v>158.157651641298</v>
      </c>
      <c r="AF93" s="6" t="n">
        <v>2687</v>
      </c>
      <c r="AG93" s="6" t="n">
        <v>278</v>
      </c>
      <c r="AH93" s="6" t="n">
        <v>305</v>
      </c>
      <c r="AI93" s="4" t="n">
        <f aca="false">(AH93/G93)*100000</f>
        <v>17.9457156810252</v>
      </c>
      <c r="AJ93" s="5" t="n">
        <f aca="false">Y93/J93</f>
        <v>0.00737994924558814</v>
      </c>
      <c r="AK93" s="2" t="n">
        <f aca="false">(Q93/Y93)*100000</f>
        <v>9085.23908523909</v>
      </c>
      <c r="AL93" s="2" t="n">
        <v>1740</v>
      </c>
      <c r="AM93" s="4" t="n">
        <f aca="false">(AL93/G93)*100000</f>
        <v>102.378836999947</v>
      </c>
      <c r="AN93" s="4" t="n">
        <f aca="false">1105.08-AM93</f>
        <v>1002.70116300005</v>
      </c>
      <c r="AO93" s="6" t="n">
        <v>0.889</v>
      </c>
      <c r="AP93" s="6" t="n">
        <v>0.129</v>
      </c>
      <c r="AQ93" s="4" t="n">
        <f aca="false">J93/G93</f>
        <v>0.383488764805215</v>
      </c>
    </row>
    <row r="94" customFormat="false" ht="15" hidden="false" customHeight="false" outlineLevel="0" collapsed="false">
      <c r="A94" s="14" t="n">
        <v>54001</v>
      </c>
      <c r="B94" s="15" t="n">
        <v>54</v>
      </c>
      <c r="C94" s="15" t="s">
        <v>91</v>
      </c>
      <c r="D94" s="14" t="s">
        <v>92</v>
      </c>
      <c r="E94" s="14" t="s">
        <v>45</v>
      </c>
      <c r="F94" s="16" t="n">
        <v>770173</v>
      </c>
      <c r="G94" s="16" t="n">
        <v>1617209</v>
      </c>
      <c r="H94" s="16" t="n">
        <v>797612</v>
      </c>
      <c r="I94" s="16" t="n">
        <v>819597</v>
      </c>
      <c r="J94" s="16" t="n">
        <v>559410</v>
      </c>
      <c r="K94" s="16" t="n">
        <v>262520</v>
      </c>
      <c r="L94" s="16" t="n">
        <v>296890</v>
      </c>
      <c r="M94" s="3" t="n">
        <v>0.0701624815361891</v>
      </c>
      <c r="N94" s="4" t="n">
        <f aca="false">M94*100000</f>
        <v>7016.24815361891</v>
      </c>
      <c r="O94" s="2" t="n">
        <v>252</v>
      </c>
      <c r="P94" s="2" t="n">
        <v>178</v>
      </c>
      <c r="Q94" s="6" t="n">
        <v>430</v>
      </c>
      <c r="R94" s="6" t="n">
        <v>26.59</v>
      </c>
      <c r="S94" s="17" t="n">
        <v>427</v>
      </c>
      <c r="T94" s="18" t="n">
        <f aca="false">(S94/J94)*100000</f>
        <v>76.3304195491679</v>
      </c>
      <c r="U94" s="19" t="n">
        <v>2293</v>
      </c>
      <c r="V94" s="19" t="n">
        <v>181</v>
      </c>
      <c r="W94" s="19" t="n">
        <v>685</v>
      </c>
      <c r="X94" s="19" t="n">
        <v>6771</v>
      </c>
      <c r="Y94" s="19" t="n">
        <v>7330</v>
      </c>
      <c r="Z94" s="20" t="n">
        <f aca="false">(Y94/G94)*100000</f>
        <v>453.250012830747</v>
      </c>
      <c r="AA94" s="2" t="n">
        <v>3565</v>
      </c>
      <c r="AB94" s="6" t="n">
        <v>918</v>
      </c>
      <c r="AC94" s="4" t="n">
        <f aca="false">(AB94/G94)*100000</f>
        <v>56.764462725597</v>
      </c>
      <c r="AD94" s="6" t="n">
        <v>6692</v>
      </c>
      <c r="AE94" s="4" t="n">
        <f aca="false">(AD94/G94)*100000</f>
        <v>413.799329585725</v>
      </c>
      <c r="AF94" s="6" t="n">
        <v>2927</v>
      </c>
      <c r="AG94" s="6" t="n">
        <v>367</v>
      </c>
      <c r="AH94" s="6" t="n">
        <v>429</v>
      </c>
      <c r="AI94" s="4" t="n">
        <f aca="false">(AH94/G94)*100000</f>
        <v>26.5271835613084</v>
      </c>
      <c r="AJ94" s="5" t="n">
        <f aca="false">Y94/J94</f>
        <v>0.0131030907563326</v>
      </c>
      <c r="AK94" s="2" t="n">
        <f aca="false">(Q94/Y94)*100000</f>
        <v>5866.30286493861</v>
      </c>
      <c r="AL94" s="2" t="n">
        <v>2611</v>
      </c>
      <c r="AM94" s="4" t="n">
        <f aca="false">(AL94/G94)*100000</f>
        <v>161.450993656355</v>
      </c>
      <c r="AN94" s="4" t="n">
        <f aca="false">1105.08-AM94</f>
        <v>943.629006343645</v>
      </c>
      <c r="AO94" s="6" t="n">
        <v>0.961</v>
      </c>
      <c r="AP94" s="6" t="n">
        <v>0.111</v>
      </c>
      <c r="AQ94" s="4" t="n">
        <f aca="false">J94/G94</f>
        <v>0.345910763543859</v>
      </c>
    </row>
    <row r="95" customFormat="false" ht="15" hidden="false" customHeight="false" outlineLevel="0" collapsed="false">
      <c r="A95" s="14" t="n">
        <v>54001</v>
      </c>
      <c r="B95" s="15" t="n">
        <v>54</v>
      </c>
      <c r="C95" s="15" t="s">
        <v>91</v>
      </c>
      <c r="D95" s="14" t="s">
        <v>92</v>
      </c>
      <c r="E95" s="14" t="s">
        <v>46</v>
      </c>
      <c r="F95" s="16" t="n">
        <v>786991</v>
      </c>
      <c r="G95" s="16" t="n">
        <v>1654341</v>
      </c>
      <c r="H95" s="16" t="n">
        <v>815414</v>
      </c>
      <c r="I95" s="16" t="n">
        <v>838927</v>
      </c>
      <c r="J95" s="16" t="n">
        <v>578417</v>
      </c>
      <c r="K95" s="16" t="n">
        <v>271377</v>
      </c>
      <c r="L95" s="16" t="n">
        <v>307040</v>
      </c>
      <c r="M95" s="3" t="n">
        <v>0.0633187772925764</v>
      </c>
      <c r="N95" s="4" t="n">
        <f aca="false">M95*100000</f>
        <v>6331.87772925764</v>
      </c>
      <c r="O95" s="2" t="n">
        <v>201</v>
      </c>
      <c r="P95" s="2" t="n">
        <v>184</v>
      </c>
      <c r="Q95" s="6" t="n">
        <v>385</v>
      </c>
      <c r="R95" s="6" t="n">
        <v>23.27</v>
      </c>
      <c r="S95" s="17" t="n">
        <v>384</v>
      </c>
      <c r="T95" s="18" t="n">
        <f aca="false">(S95/J95)*100000</f>
        <v>66.3880902532256</v>
      </c>
      <c r="U95" s="19" t="n">
        <v>2802</v>
      </c>
      <c r="V95" s="19" t="n">
        <v>134</v>
      </c>
      <c r="W95" s="19" t="n">
        <v>360</v>
      </c>
      <c r="X95" s="19" t="n">
        <v>6951</v>
      </c>
      <c r="Y95" s="19" t="n">
        <v>7605</v>
      </c>
      <c r="Z95" s="20" t="n">
        <f aca="false">(Y95/G95)*100000</f>
        <v>459.699662886914</v>
      </c>
      <c r="AA95" s="2" t="n">
        <v>4064</v>
      </c>
      <c r="AB95" s="6" t="n">
        <v>1131</v>
      </c>
      <c r="AC95" s="4" t="n">
        <f aca="false">(AB95/G95)*100000</f>
        <v>68.3655908908744</v>
      </c>
      <c r="AD95" s="6" t="n">
        <v>6886</v>
      </c>
      <c r="AE95" s="4" t="n">
        <f aca="false">(AD95/G95)*100000</f>
        <v>416.238248341787</v>
      </c>
      <c r="AF95" s="6" t="n">
        <v>3126</v>
      </c>
      <c r="AG95" s="6" t="n">
        <v>236</v>
      </c>
      <c r="AH95" s="6" t="n">
        <v>225</v>
      </c>
      <c r="AI95" s="4" t="n">
        <f aca="false">(AH95/G95)*100000</f>
        <v>13.6005817422164</v>
      </c>
      <c r="AJ95" s="5" t="n">
        <f aca="false">Y95/J95</f>
        <v>0.0131479538118693</v>
      </c>
      <c r="AK95" s="2" t="n">
        <f aca="false">(Q95/Y95)*100000</f>
        <v>5062.45890861275</v>
      </c>
      <c r="AL95" s="2" t="n">
        <v>3571</v>
      </c>
      <c r="AM95" s="4" t="n">
        <f aca="false">(AL95/G95)*100000</f>
        <v>215.856344006465</v>
      </c>
      <c r="AN95" s="4" t="n">
        <f aca="false">1105.08-AM95</f>
        <v>889.223655993535</v>
      </c>
      <c r="AO95" s="6" t="n">
        <v>0.868</v>
      </c>
      <c r="AP95" s="6" t="n">
        <v>0.086</v>
      </c>
      <c r="AQ95" s="4" t="n">
        <f aca="false">J95/G95</f>
        <v>0.349635897315003</v>
      </c>
    </row>
    <row r="96" customFormat="false" ht="15" hidden="false" customHeight="false" outlineLevel="0" collapsed="false">
      <c r="A96" s="14" t="n">
        <v>54001</v>
      </c>
      <c r="B96" s="15" t="n">
        <v>54</v>
      </c>
      <c r="C96" s="15" t="s">
        <v>91</v>
      </c>
      <c r="D96" s="14" t="s">
        <v>92</v>
      </c>
      <c r="E96" s="14" t="s">
        <v>47</v>
      </c>
      <c r="F96" s="16" t="n">
        <v>798411</v>
      </c>
      <c r="G96" s="16" t="n">
        <v>1678975</v>
      </c>
      <c r="H96" s="16" t="n">
        <v>827184</v>
      </c>
      <c r="I96" s="16" t="n">
        <v>851791</v>
      </c>
      <c r="J96" s="16" t="n">
        <v>594410</v>
      </c>
      <c r="K96" s="16" t="n">
        <v>278807</v>
      </c>
      <c r="L96" s="16" t="n">
        <v>315603</v>
      </c>
      <c r="M96" s="3" t="n">
        <v>0.0441389290882779</v>
      </c>
      <c r="N96" s="4" t="n">
        <f aca="false">M96*100000</f>
        <v>4413.89290882779</v>
      </c>
      <c r="O96" s="2" t="n">
        <v>240</v>
      </c>
      <c r="P96" s="2" t="n">
        <v>212</v>
      </c>
      <c r="Q96" s="6" t="n">
        <v>452</v>
      </c>
      <c r="R96" s="6" t="n">
        <v>26.92</v>
      </c>
      <c r="S96" s="17" t="n">
        <v>449</v>
      </c>
      <c r="T96" s="18" t="n">
        <f aca="false">(S96/J96)*100000</f>
        <v>75.5370871957067</v>
      </c>
      <c r="U96" s="19" t="n">
        <v>2945</v>
      </c>
      <c r="V96" s="19" t="n">
        <v>211</v>
      </c>
      <c r="W96" s="19" t="n">
        <v>523</v>
      </c>
      <c r="X96" s="19" t="n">
        <v>6703</v>
      </c>
      <c r="Y96" s="19" t="n">
        <v>7496</v>
      </c>
      <c r="Z96" s="20" t="n">
        <f aca="false">(Y96/G96)*100000</f>
        <v>446.462871692551</v>
      </c>
      <c r="AA96" s="2" t="n">
        <v>3804</v>
      </c>
      <c r="AB96" s="6" t="n">
        <v>933</v>
      </c>
      <c r="AC96" s="4" t="n">
        <f aca="false">(AB96/G96)*100000</f>
        <v>55.5696183683497</v>
      </c>
      <c r="AD96" s="6" t="n">
        <v>6599</v>
      </c>
      <c r="AE96" s="4" t="n">
        <f aca="false">(AD96/G96)*100000</f>
        <v>393.037418663172</v>
      </c>
      <c r="AF96" s="6" t="n">
        <v>3438</v>
      </c>
      <c r="AG96" s="6" t="n">
        <v>400</v>
      </c>
      <c r="AH96" s="6" t="n">
        <v>393</v>
      </c>
      <c r="AI96" s="4" t="n">
        <f aca="false">(AH96/G96)*100000</f>
        <v>23.4071382837743</v>
      </c>
      <c r="AJ96" s="5" t="n">
        <f aca="false">Y96/J96</f>
        <v>0.0126108241785973</v>
      </c>
      <c r="AK96" s="2" t="n">
        <f aca="false">(Q96/Y96)*100000</f>
        <v>6029.8826040555</v>
      </c>
      <c r="AL96" s="2" t="n">
        <v>3676</v>
      </c>
      <c r="AM96" s="4" t="n">
        <f aca="false">(AL96/G96)*100000</f>
        <v>218.943105168332</v>
      </c>
      <c r="AN96" s="4" t="n">
        <f aca="false">1105.08-AM96</f>
        <v>886.136894831668</v>
      </c>
      <c r="AO96" s="6" t="n">
        <v>0.859</v>
      </c>
      <c r="AP96" s="6" t="n">
        <v>0.097</v>
      </c>
      <c r="AQ96" s="4" t="n">
        <f aca="false">J96/G96</f>
        <v>0.354031477538379</v>
      </c>
    </row>
    <row r="97" customFormat="false" ht="15" hidden="false" customHeight="false" outlineLevel="0" collapsed="false">
      <c r="A97" s="14" t="n">
        <v>54001</v>
      </c>
      <c r="B97" s="15" t="n">
        <v>54</v>
      </c>
      <c r="C97" s="15" t="s">
        <v>91</v>
      </c>
      <c r="D97" s="14" t="s">
        <v>92</v>
      </c>
      <c r="E97" s="14" t="s">
        <v>48</v>
      </c>
      <c r="F97" s="16" t="n">
        <v>806378</v>
      </c>
      <c r="G97" s="16" t="n">
        <v>1696740</v>
      </c>
      <c r="H97" s="16" t="n">
        <v>835793</v>
      </c>
      <c r="I97" s="16" t="n">
        <v>860947</v>
      </c>
      <c r="J97" s="16" t="n">
        <v>609573</v>
      </c>
      <c r="K97" s="16" t="n">
        <v>285965</v>
      </c>
      <c r="L97" s="16" t="n">
        <v>323608</v>
      </c>
      <c r="M97" s="3" t="n">
        <v>0.0625449317038102</v>
      </c>
      <c r="N97" s="4" t="n">
        <f aca="false">M97*100000</f>
        <v>6254.49317038102</v>
      </c>
      <c r="O97" s="2" t="n">
        <v>265</v>
      </c>
      <c r="P97" s="2" t="n">
        <v>220</v>
      </c>
      <c r="Q97" s="6" t="n">
        <v>485</v>
      </c>
      <c r="R97" s="6" t="n">
        <v>28.58</v>
      </c>
      <c r="S97" s="17" t="n">
        <v>483</v>
      </c>
      <c r="T97" s="18" t="n">
        <f aca="false">(S97/J97)*100000</f>
        <v>79.2357929238992</v>
      </c>
      <c r="U97" s="19" t="n">
        <v>3145</v>
      </c>
      <c r="V97" s="19" t="n">
        <v>209</v>
      </c>
      <c r="W97" s="19" t="n">
        <v>515</v>
      </c>
      <c r="X97" s="19" t="n">
        <v>7355</v>
      </c>
      <c r="Y97" s="19" t="n">
        <v>8187</v>
      </c>
      <c r="Z97" s="20" t="n">
        <f aca="false">(Y97/G97)*100000</f>
        <v>482.513525937975</v>
      </c>
      <c r="AA97" s="2" t="n">
        <v>4080</v>
      </c>
      <c r="AB97" s="6" t="n">
        <v>828</v>
      </c>
      <c r="AC97" s="4" t="n">
        <f aca="false">(AB97/G97)*100000</f>
        <v>48.7994624986739</v>
      </c>
      <c r="AD97" s="6" t="n">
        <v>7249</v>
      </c>
      <c r="AE97" s="4" t="n">
        <f aca="false">(AD97/G97)*100000</f>
        <v>427.231043059043</v>
      </c>
      <c r="AF97" s="6" t="n">
        <v>3593</v>
      </c>
      <c r="AG97" s="6" t="n">
        <v>474</v>
      </c>
      <c r="AH97" s="6" t="n">
        <v>389</v>
      </c>
      <c r="AI97" s="4" t="n">
        <f aca="false">(AH97/G97)*100000</f>
        <v>22.9263175265509</v>
      </c>
      <c r="AJ97" s="5" t="n">
        <f aca="false">Y97/J97</f>
        <v>0.013430712974492</v>
      </c>
      <c r="AK97" s="2" t="n">
        <f aca="false">(Q97/Y97)*100000</f>
        <v>5924.02589471113</v>
      </c>
      <c r="AL97" s="2" t="n">
        <v>3040</v>
      </c>
      <c r="AM97" s="4" t="n">
        <f aca="false">(AL97/G97)*100000</f>
        <v>179.167108690784</v>
      </c>
      <c r="AN97" s="4" t="n">
        <f aca="false">1105.08-AM97</f>
        <v>925.912891309216</v>
      </c>
      <c r="AO97" s="6" t="n">
        <v>0.849</v>
      </c>
      <c r="AP97" s="6" t="n">
        <v>0.072</v>
      </c>
      <c r="AQ97" s="4" t="n">
        <f aca="false">J97/G97</f>
        <v>0.359261289295944</v>
      </c>
    </row>
    <row r="98" customFormat="false" ht="15" hidden="false" customHeight="false" outlineLevel="0" collapsed="false">
      <c r="A98" s="14" t="n">
        <v>86001</v>
      </c>
      <c r="B98" s="15" t="n">
        <v>86</v>
      </c>
      <c r="C98" s="15" t="s">
        <v>93</v>
      </c>
      <c r="D98" s="14" t="s">
        <v>94</v>
      </c>
      <c r="E98" s="14" t="s">
        <v>45</v>
      </c>
      <c r="F98" s="16" t="n">
        <v>60157</v>
      </c>
      <c r="G98" s="16" t="n">
        <v>364883</v>
      </c>
      <c r="H98" s="16" t="n">
        <v>183311</v>
      </c>
      <c r="I98" s="16" t="n">
        <v>181572</v>
      </c>
      <c r="J98" s="16" t="n">
        <v>109554</v>
      </c>
      <c r="K98" s="16" t="n">
        <v>53942</v>
      </c>
      <c r="L98" s="16" t="n">
        <v>55612</v>
      </c>
      <c r="M98" s="3" t="n">
        <v>0.023728813559322</v>
      </c>
      <c r="N98" s="4" t="n">
        <f aca="false">M98*100000</f>
        <v>2372.8813559322</v>
      </c>
      <c r="O98" s="2" t="n">
        <v>39</v>
      </c>
      <c r="P98" s="2" t="n">
        <v>22</v>
      </c>
      <c r="Q98" s="6" t="n">
        <v>61</v>
      </c>
      <c r="R98" s="6" t="n">
        <v>16.72</v>
      </c>
      <c r="S98" s="17" t="n">
        <v>61</v>
      </c>
      <c r="T98" s="18" t="n">
        <f aca="false">(S98/J98)*100000</f>
        <v>55.6803037771327</v>
      </c>
      <c r="U98" s="19" t="n">
        <v>244</v>
      </c>
      <c r="V98" s="19" t="n">
        <v>73</v>
      </c>
      <c r="W98" s="19" t="n">
        <v>137</v>
      </c>
      <c r="X98" s="19" t="n">
        <v>832</v>
      </c>
      <c r="Y98" s="19" t="n">
        <v>926</v>
      </c>
      <c r="Z98" s="20" t="n">
        <f aca="false">(Y98/G98)*100000</f>
        <v>253.779978787721</v>
      </c>
      <c r="AA98" s="2" t="n">
        <v>508</v>
      </c>
      <c r="AB98" s="6" t="n">
        <v>65</v>
      </c>
      <c r="AC98" s="4" t="n">
        <f aca="false">(AB98/G98)*100000</f>
        <v>17.8139293965463</v>
      </c>
      <c r="AD98" s="6" t="n">
        <v>790</v>
      </c>
      <c r="AE98" s="4" t="n">
        <f aca="false">(AD98/G98)*100000</f>
        <v>216.507757281101</v>
      </c>
      <c r="AF98" s="6" t="n">
        <v>383</v>
      </c>
      <c r="AG98" s="6" t="n">
        <v>166</v>
      </c>
      <c r="AH98" s="6" t="n">
        <v>106</v>
      </c>
      <c r="AI98" s="4" t="n">
        <f aca="false">(AH98/G98)*100000</f>
        <v>29.0504079389832</v>
      </c>
      <c r="AJ98" s="5" t="n">
        <f aca="false">Y98/J98</f>
        <v>0.00845245267174179</v>
      </c>
      <c r="AK98" s="2" t="n">
        <f aca="false">(Q98/Y98)*100000</f>
        <v>6587.47300215983</v>
      </c>
      <c r="AL98" s="2" t="n">
        <v>179</v>
      </c>
      <c r="AM98" s="4" t="n">
        <f aca="false">(AL98/G98)*100000</f>
        <v>49.0568209535659</v>
      </c>
      <c r="AN98" s="4" t="n">
        <f aca="false">1105.08-AM98</f>
        <v>1056.02317904643</v>
      </c>
      <c r="AO98" s="6" t="n">
        <v>0.901</v>
      </c>
      <c r="AP98" s="6" t="n">
        <v>0.261</v>
      </c>
      <c r="AQ98" s="4" t="n">
        <f aca="false">J98/G98</f>
        <v>0.300244187862959</v>
      </c>
    </row>
    <row r="99" customFormat="false" ht="15" hidden="false" customHeight="false" outlineLevel="0" collapsed="false">
      <c r="A99" s="14" t="n">
        <v>86001</v>
      </c>
      <c r="B99" s="15" t="n">
        <v>86</v>
      </c>
      <c r="C99" s="15" t="s">
        <v>93</v>
      </c>
      <c r="D99" s="14" t="s">
        <v>94</v>
      </c>
      <c r="E99" s="14" t="s">
        <v>46</v>
      </c>
      <c r="F99" s="16" t="n">
        <v>61796</v>
      </c>
      <c r="G99" s="16" t="n">
        <v>371213</v>
      </c>
      <c r="H99" s="16" t="n">
        <v>186095</v>
      </c>
      <c r="I99" s="16" t="n">
        <v>185118</v>
      </c>
      <c r="J99" s="16" t="n">
        <v>113323</v>
      </c>
      <c r="K99" s="16" t="n">
        <v>55518</v>
      </c>
      <c r="L99" s="16" t="n">
        <v>57805</v>
      </c>
      <c r="M99" s="3" t="n">
        <v>0.0334448160535117</v>
      </c>
      <c r="N99" s="4" t="n">
        <f aca="false">M99*100000</f>
        <v>3344.48160535117</v>
      </c>
      <c r="O99" s="2" t="n">
        <v>29</v>
      </c>
      <c r="P99" s="2" t="n">
        <v>26</v>
      </c>
      <c r="Q99" s="6" t="n">
        <v>55</v>
      </c>
      <c r="R99" s="6" t="n">
        <v>14.82</v>
      </c>
      <c r="S99" s="17" t="n">
        <v>54</v>
      </c>
      <c r="T99" s="18" t="n">
        <f aca="false">(S99/J99)*100000</f>
        <v>47.6514035103201</v>
      </c>
      <c r="U99" s="19" t="n">
        <v>250</v>
      </c>
      <c r="V99" s="19" t="n">
        <v>42</v>
      </c>
      <c r="W99" s="19" t="n">
        <v>70</v>
      </c>
      <c r="X99" s="19" t="n">
        <v>878</v>
      </c>
      <c r="Y99" s="19" t="n">
        <v>937</v>
      </c>
      <c r="Z99" s="20" t="n">
        <f aca="false">(Y99/G99)*100000</f>
        <v>252.415728975009</v>
      </c>
      <c r="AA99" s="2" t="n">
        <v>524</v>
      </c>
      <c r="AB99" s="6" t="n">
        <v>75</v>
      </c>
      <c r="AC99" s="4" t="n">
        <f aca="false">(AB99/G99)*100000</f>
        <v>20.2040338026955</v>
      </c>
      <c r="AD99" s="6" t="n">
        <v>844</v>
      </c>
      <c r="AE99" s="4" t="n">
        <f aca="false">(AD99/G99)*100000</f>
        <v>227.362727059667</v>
      </c>
      <c r="AF99" s="6" t="n">
        <v>334</v>
      </c>
      <c r="AG99" s="6" t="n">
        <v>110</v>
      </c>
      <c r="AH99" s="6" t="n">
        <v>79</v>
      </c>
      <c r="AI99" s="4" t="n">
        <f aca="false">(AH99/G99)*100000</f>
        <v>21.2815822721726</v>
      </c>
      <c r="AJ99" s="5" t="n">
        <f aca="false">Y99/J99</f>
        <v>0.00826840094243887</v>
      </c>
      <c r="AK99" s="2" t="n">
        <f aca="false">(Q99/Y99)*100000</f>
        <v>5869.79722518677</v>
      </c>
      <c r="AL99" s="2" t="n">
        <v>387</v>
      </c>
      <c r="AM99" s="4" t="n">
        <f aca="false">(AL99/G99)*100000</f>
        <v>104.252814421909</v>
      </c>
      <c r="AN99" s="4" t="n">
        <f aca="false">1105.08-AM99</f>
        <v>1000.82718557809</v>
      </c>
      <c r="AO99" s="6" t="n">
        <v>0.95</v>
      </c>
      <c r="AP99" s="6" t="n">
        <v>0.268</v>
      </c>
      <c r="AQ99" s="4" t="n">
        <f aca="false">J99/G99</f>
        <v>0.305277563016381</v>
      </c>
    </row>
    <row r="100" customFormat="false" ht="15" hidden="false" customHeight="false" outlineLevel="0" collapsed="false">
      <c r="A100" s="14" t="n">
        <v>86001</v>
      </c>
      <c r="B100" s="15" t="n">
        <v>86</v>
      </c>
      <c r="C100" s="15" t="s">
        <v>93</v>
      </c>
      <c r="D100" s="14" t="s">
        <v>94</v>
      </c>
      <c r="E100" s="14" t="s">
        <v>47</v>
      </c>
      <c r="F100" s="16" t="n">
        <v>62960</v>
      </c>
      <c r="G100" s="16" t="n">
        <v>377095</v>
      </c>
      <c r="H100" s="16" t="n">
        <v>188611</v>
      </c>
      <c r="I100" s="16" t="n">
        <v>188484</v>
      </c>
      <c r="J100" s="16" t="n">
        <v>117027</v>
      </c>
      <c r="K100" s="16" t="n">
        <v>57044</v>
      </c>
      <c r="L100" s="16" t="n">
        <v>59983</v>
      </c>
      <c r="M100" s="3" t="n">
        <v>0.0360655737704918</v>
      </c>
      <c r="N100" s="4" t="n">
        <f aca="false">M100*100000</f>
        <v>3606.55737704918</v>
      </c>
      <c r="O100" s="2" t="n">
        <v>31</v>
      </c>
      <c r="P100" s="2" t="n">
        <v>16</v>
      </c>
      <c r="Q100" s="6" t="n">
        <v>47</v>
      </c>
      <c r="R100" s="6" t="n">
        <v>12.46</v>
      </c>
      <c r="S100" s="17" t="n">
        <v>46</v>
      </c>
      <c r="T100" s="18" t="n">
        <f aca="false">(S100/J100)*100000</f>
        <v>39.3071684312167</v>
      </c>
      <c r="U100" s="19" t="n">
        <v>95</v>
      </c>
      <c r="V100" s="19" t="n">
        <v>21</v>
      </c>
      <c r="W100" s="19" t="n">
        <v>16</v>
      </c>
      <c r="X100" s="19" t="n">
        <v>356</v>
      </c>
      <c r="Y100" s="19" t="n">
        <v>385</v>
      </c>
      <c r="Z100" s="20" t="n">
        <f aca="false">(Y100/G100)*100000</f>
        <v>102.096288733608</v>
      </c>
      <c r="AA100" s="2" t="n">
        <v>217</v>
      </c>
      <c r="AB100" s="6" t="n">
        <v>26</v>
      </c>
      <c r="AC100" s="4" t="n">
        <f aca="false">(AB100/G100)*100000</f>
        <v>6.89481430408783</v>
      </c>
      <c r="AD100" s="6" t="n">
        <v>344</v>
      </c>
      <c r="AE100" s="4" t="n">
        <f aca="false">(AD100/G100)*100000</f>
        <v>91.2236969463928</v>
      </c>
      <c r="AF100" s="6" t="n">
        <v>122</v>
      </c>
      <c r="AG100" s="6" t="n">
        <v>29</v>
      </c>
      <c r="AH100" s="6" t="n">
        <v>39</v>
      </c>
      <c r="AI100" s="4" t="n">
        <f aca="false">(AH100/G100)*100000</f>
        <v>10.3422214561317</v>
      </c>
      <c r="AJ100" s="5" t="n">
        <f aca="false">Y100/J100</f>
        <v>0.00328983909696053</v>
      </c>
      <c r="AK100" s="2" t="n">
        <f aca="false">(Q100/Y100)*100000</f>
        <v>12207.7922077922</v>
      </c>
      <c r="AL100" s="2" t="n">
        <v>130</v>
      </c>
      <c r="AM100" s="4" t="n">
        <f aca="false">(AL100/G100)*100000</f>
        <v>34.4740715204391</v>
      </c>
      <c r="AN100" s="4" t="n">
        <f aca="false">1105.08-AM100</f>
        <v>1070.60592847956</v>
      </c>
      <c r="AO100" s="6" t="n">
        <v>0.962</v>
      </c>
      <c r="AP100" s="6" t="n">
        <v>0.226</v>
      </c>
      <c r="AQ100" s="4" t="n">
        <f aca="false">J100/G100</f>
        <v>0.310338243678649</v>
      </c>
    </row>
    <row r="101" customFormat="false" ht="15" hidden="false" customHeight="false" outlineLevel="0" collapsed="false">
      <c r="A101" s="14" t="n">
        <v>86001</v>
      </c>
      <c r="B101" s="15" t="n">
        <v>86</v>
      </c>
      <c r="C101" s="15" t="s">
        <v>93</v>
      </c>
      <c r="D101" s="14" t="s">
        <v>94</v>
      </c>
      <c r="E101" s="14" t="s">
        <v>48</v>
      </c>
      <c r="F101" s="16" t="n">
        <v>63639</v>
      </c>
      <c r="G101" s="16" t="n">
        <v>383042</v>
      </c>
      <c r="H101" s="16" t="n">
        <v>191218</v>
      </c>
      <c r="I101" s="16" t="n">
        <v>191824</v>
      </c>
      <c r="J101" s="16" t="n">
        <v>120930</v>
      </c>
      <c r="K101" s="16" t="n">
        <v>58698</v>
      </c>
      <c r="L101" s="16" t="n">
        <v>62232</v>
      </c>
      <c r="M101" s="3" t="n">
        <v>0.0385852090032154</v>
      </c>
      <c r="N101" s="4" t="n">
        <f aca="false">M101*100000</f>
        <v>3858.52090032154</v>
      </c>
      <c r="O101" s="2" t="n">
        <v>32</v>
      </c>
      <c r="P101" s="2" t="n">
        <v>28</v>
      </c>
      <c r="Q101" s="6" t="n">
        <v>60</v>
      </c>
      <c r="R101" s="6" t="n">
        <v>15.66</v>
      </c>
      <c r="S101" s="17" t="n">
        <v>60</v>
      </c>
      <c r="T101" s="18" t="n">
        <f aca="false">(S101/J101)*100000</f>
        <v>49.6154800297693</v>
      </c>
      <c r="U101" s="19" t="n">
        <v>126</v>
      </c>
      <c r="V101" s="19" t="n">
        <v>35</v>
      </c>
      <c r="W101" s="19" t="n">
        <v>24</v>
      </c>
      <c r="X101" s="19" t="n">
        <v>417</v>
      </c>
      <c r="Y101" s="19" t="n">
        <v>456</v>
      </c>
      <c r="Z101" s="20" t="n">
        <f aca="false">(Y101/G101)*100000</f>
        <v>119.046997457198</v>
      </c>
      <c r="AA101" s="2" t="n">
        <v>226</v>
      </c>
      <c r="AB101" s="6" t="n">
        <v>28</v>
      </c>
      <c r="AC101" s="4" t="n">
        <f aca="false">(AB101/G101)*100000</f>
        <v>7.30990335263496</v>
      </c>
      <c r="AD101" s="6" t="n">
        <v>404</v>
      </c>
      <c r="AE101" s="4" t="n">
        <f aca="false">(AD101/G101)*100000</f>
        <v>105.471462659447</v>
      </c>
      <c r="AF101" s="6" t="n">
        <v>166</v>
      </c>
      <c r="AG101" s="6" t="n">
        <v>64</v>
      </c>
      <c r="AH101" s="6" t="n">
        <v>51</v>
      </c>
      <c r="AI101" s="4" t="n">
        <f aca="false">(AH101/G101)*100000</f>
        <v>13.3144668208708</v>
      </c>
      <c r="AJ101" s="5" t="n">
        <f aca="false">Y101/J101</f>
        <v>0.00377077648226247</v>
      </c>
      <c r="AK101" s="2" t="n">
        <f aca="false">(Q101/Y101)*100000</f>
        <v>13157.8947368421</v>
      </c>
      <c r="AL101" s="2" t="n">
        <v>132</v>
      </c>
      <c r="AM101" s="4" t="n">
        <f aca="false">(AL101/G101)*100000</f>
        <v>34.4609729481362</v>
      </c>
      <c r="AN101" s="4" t="n">
        <f aca="false">1105.08-AM101</f>
        <v>1070.61902705186</v>
      </c>
      <c r="AO101" s="6" t="n">
        <v>0.945</v>
      </c>
      <c r="AP101" s="6" t="n">
        <v>0.228</v>
      </c>
      <c r="AQ101" s="4" t="n">
        <f aca="false">J101/G101</f>
        <v>0.315709504440766</v>
      </c>
    </row>
    <row r="102" customFormat="false" ht="15" hidden="false" customHeight="false" outlineLevel="0" collapsed="false">
      <c r="A102" s="14" t="n">
        <v>63001</v>
      </c>
      <c r="B102" s="15" t="n">
        <v>63</v>
      </c>
      <c r="C102" s="15" t="s">
        <v>95</v>
      </c>
      <c r="D102" s="14" t="s">
        <v>96</v>
      </c>
      <c r="E102" s="14" t="s">
        <v>45</v>
      </c>
      <c r="F102" s="16" t="n">
        <v>302613</v>
      </c>
      <c r="G102" s="16" t="n">
        <v>553321</v>
      </c>
      <c r="H102" s="16" t="n">
        <v>266678</v>
      </c>
      <c r="I102" s="16" t="n">
        <v>286643</v>
      </c>
      <c r="J102" s="16" t="n">
        <v>247053</v>
      </c>
      <c r="K102" s="16" t="n">
        <v>113621</v>
      </c>
      <c r="L102" s="16" t="n">
        <v>133432</v>
      </c>
      <c r="M102" s="3" t="n">
        <v>0.0897959183673469</v>
      </c>
      <c r="N102" s="4" t="n">
        <f aca="false">M102*100000</f>
        <v>8979.59183673469</v>
      </c>
      <c r="O102" s="2" t="n">
        <v>146</v>
      </c>
      <c r="P102" s="2" t="n">
        <v>128</v>
      </c>
      <c r="Q102" s="6" t="n">
        <v>274</v>
      </c>
      <c r="R102" s="6" t="n">
        <v>49.52</v>
      </c>
      <c r="S102" s="17" t="n">
        <v>272</v>
      </c>
      <c r="T102" s="18" t="n">
        <f aca="false">(S102/J102)*100000</f>
        <v>110.097833258451</v>
      </c>
      <c r="U102" s="19" t="n">
        <v>1616</v>
      </c>
      <c r="V102" s="19" t="n">
        <v>42</v>
      </c>
      <c r="W102" s="19" t="n">
        <v>107</v>
      </c>
      <c r="X102" s="19" t="n">
        <v>4423</v>
      </c>
      <c r="Y102" s="19" t="n">
        <v>5070</v>
      </c>
      <c r="Z102" s="20" t="n">
        <f aca="false">(Y102/G102)*100000</f>
        <v>916.28548347162</v>
      </c>
      <c r="AA102" s="2" t="n">
        <v>2007</v>
      </c>
      <c r="AB102" s="6" t="n">
        <v>545</v>
      </c>
      <c r="AC102" s="4" t="n">
        <f aca="false">(AB102/G102)*100000</f>
        <v>98.4961713002037</v>
      </c>
      <c r="AD102" s="6" t="n">
        <v>4262</v>
      </c>
      <c r="AE102" s="4" t="n">
        <f aca="false">(AD102/G102)*100000</f>
        <v>770.258132259575</v>
      </c>
      <c r="AF102" s="6" t="n">
        <v>1730</v>
      </c>
      <c r="AG102" s="6" t="n">
        <v>461</v>
      </c>
      <c r="AH102" s="6" t="n">
        <v>372</v>
      </c>
      <c r="AI102" s="4" t="n">
        <f aca="false">(AH102/G102)*100000</f>
        <v>67.2304141718822</v>
      </c>
      <c r="AJ102" s="5" t="n">
        <f aca="false">Y102/J102</f>
        <v>0.0205219123022186</v>
      </c>
      <c r="AK102" s="2" t="n">
        <f aca="false">(Q102/Y102)*100000</f>
        <v>5404.3392504931</v>
      </c>
      <c r="AL102" s="2" t="n">
        <v>2193</v>
      </c>
      <c r="AM102" s="4" t="n">
        <f aca="false">(AL102/G102)*100000</f>
        <v>396.334135158434</v>
      </c>
      <c r="AN102" s="4" t="n">
        <f aca="false">1105.08-AM102</f>
        <v>708.745864841566</v>
      </c>
      <c r="AO102" s="6" t="n">
        <v>0.924</v>
      </c>
      <c r="AP102" s="6" t="n">
        <v>0.196</v>
      </c>
      <c r="AQ102" s="4" t="n">
        <f aca="false">J102/G102</f>
        <v>0.446491277215215</v>
      </c>
    </row>
    <row r="103" customFormat="false" ht="15" hidden="false" customHeight="false" outlineLevel="0" collapsed="false">
      <c r="A103" s="14" t="n">
        <v>63001</v>
      </c>
      <c r="B103" s="15" t="n">
        <v>63</v>
      </c>
      <c r="C103" s="15" t="s">
        <v>95</v>
      </c>
      <c r="D103" s="14" t="s">
        <v>96</v>
      </c>
      <c r="E103" s="14" t="s">
        <v>46</v>
      </c>
      <c r="F103" s="16" t="n">
        <v>304700</v>
      </c>
      <c r="G103" s="16" t="n">
        <v>557099</v>
      </c>
      <c r="H103" s="16" t="n">
        <v>268351</v>
      </c>
      <c r="I103" s="16" t="n">
        <v>288748</v>
      </c>
      <c r="J103" s="16" t="n">
        <v>250723</v>
      </c>
      <c r="K103" s="16" t="n">
        <v>115095</v>
      </c>
      <c r="L103" s="16" t="n">
        <v>135628</v>
      </c>
      <c r="M103" s="3" t="n">
        <v>0.0643863179074447</v>
      </c>
      <c r="N103" s="4" t="n">
        <f aca="false">M103*100000</f>
        <v>6438.63179074447</v>
      </c>
      <c r="O103" s="2" t="n">
        <v>151</v>
      </c>
      <c r="P103" s="2" t="n">
        <v>117</v>
      </c>
      <c r="Q103" s="6" t="n">
        <v>268</v>
      </c>
      <c r="R103" s="6" t="n">
        <v>48.11</v>
      </c>
      <c r="S103" s="17" t="n">
        <v>267</v>
      </c>
      <c r="T103" s="18" t="n">
        <f aca="false">(S103/J103)*100000</f>
        <v>106.492025063516</v>
      </c>
      <c r="U103" s="19" t="n">
        <v>1401</v>
      </c>
      <c r="V103" s="19" t="n">
        <v>46</v>
      </c>
      <c r="W103" s="19" t="n">
        <v>73</v>
      </c>
      <c r="X103" s="19" t="n">
        <v>4318</v>
      </c>
      <c r="Y103" s="19" t="n">
        <v>4883</v>
      </c>
      <c r="Z103" s="20" t="n">
        <f aca="false">(Y103/G103)*100000</f>
        <v>876.504894103202</v>
      </c>
      <c r="AA103" s="2" t="n">
        <v>2024</v>
      </c>
      <c r="AB103" s="6" t="n">
        <v>224</v>
      </c>
      <c r="AC103" s="4" t="n">
        <f aca="false">(AB103/G103)*100000</f>
        <v>40.2082933194998</v>
      </c>
      <c r="AD103" s="6" t="n">
        <v>4202</v>
      </c>
      <c r="AE103" s="4" t="n">
        <f aca="false">(AD103/G103)*100000</f>
        <v>754.264502359545</v>
      </c>
      <c r="AF103" s="6" t="n">
        <v>1479</v>
      </c>
      <c r="AG103" s="6" t="n">
        <v>302</v>
      </c>
      <c r="AH103" s="6" t="n">
        <v>416</v>
      </c>
      <c r="AI103" s="4" t="n">
        <f aca="false">(AH103/G103)*100000</f>
        <v>74.6725447362139</v>
      </c>
      <c r="AJ103" s="5" t="n">
        <f aca="false">Y103/J103</f>
        <v>0.0194756763440131</v>
      </c>
      <c r="AK103" s="2" t="n">
        <f aca="false">(Q103/Y103)*100000</f>
        <v>5488.42924431702</v>
      </c>
      <c r="AL103" s="2" t="n">
        <v>2663</v>
      </c>
      <c r="AM103" s="4" t="n">
        <f aca="false">(AL103/G103)*100000</f>
        <v>478.011987097446</v>
      </c>
      <c r="AN103" s="4" t="n">
        <f aca="false">1105.08-AM103</f>
        <v>627.068012902554</v>
      </c>
      <c r="AO103" s="6" t="n">
        <v>0.967</v>
      </c>
      <c r="AP103" s="6" t="n">
        <v>0.195</v>
      </c>
      <c r="AQ103" s="4" t="n">
        <f aca="false">J103/G103</f>
        <v>0.450051068122542</v>
      </c>
    </row>
    <row r="104" customFormat="false" ht="15" hidden="false" customHeight="false" outlineLevel="0" collapsed="false">
      <c r="A104" s="14" t="n">
        <v>63001</v>
      </c>
      <c r="B104" s="15" t="n">
        <v>63</v>
      </c>
      <c r="C104" s="15" t="s">
        <v>95</v>
      </c>
      <c r="D104" s="14" t="s">
        <v>96</v>
      </c>
      <c r="E104" s="14" t="s">
        <v>47</v>
      </c>
      <c r="F104" s="16" t="n">
        <v>306147</v>
      </c>
      <c r="G104" s="16" t="n">
        <v>559810</v>
      </c>
      <c r="H104" s="16" t="n">
        <v>269632</v>
      </c>
      <c r="I104" s="16" t="n">
        <v>290178</v>
      </c>
      <c r="J104" s="16" t="n">
        <v>254101</v>
      </c>
      <c r="K104" s="16" t="n">
        <v>116539</v>
      </c>
      <c r="L104" s="16" t="n">
        <v>137562</v>
      </c>
      <c r="M104" s="3" t="n">
        <v>0.0673267326732673</v>
      </c>
      <c r="N104" s="4" t="n">
        <f aca="false">M104*100000</f>
        <v>6732.67326732673</v>
      </c>
      <c r="O104" s="2" t="n">
        <v>202</v>
      </c>
      <c r="P104" s="2" t="n">
        <v>158</v>
      </c>
      <c r="Q104" s="6" t="n">
        <v>360</v>
      </c>
      <c r="R104" s="6" t="n">
        <v>64.31</v>
      </c>
      <c r="S104" s="17" t="n">
        <v>357</v>
      </c>
      <c r="T104" s="18" t="n">
        <f aca="false">(S104/J104)*100000</f>
        <v>140.495314855117</v>
      </c>
      <c r="U104" s="19" t="n">
        <v>1447</v>
      </c>
      <c r="V104" s="19" t="n">
        <v>126</v>
      </c>
      <c r="W104" s="19" t="n">
        <v>69</v>
      </c>
      <c r="X104" s="19" t="n">
        <v>4665</v>
      </c>
      <c r="Y104" s="19" t="n">
        <v>4912</v>
      </c>
      <c r="Z104" s="20" t="n">
        <f aca="false">(Y104/G104)*100000</f>
        <v>877.440560190065</v>
      </c>
      <c r="AA104" s="2" t="n">
        <v>2719</v>
      </c>
      <c r="AB104" s="6" t="n">
        <v>445</v>
      </c>
      <c r="AC104" s="4" t="n">
        <f aca="false">(AB104/G104)*100000</f>
        <v>79.4912559618442</v>
      </c>
      <c r="AD104" s="6" t="n">
        <v>4597</v>
      </c>
      <c r="AE104" s="4" t="n">
        <f aca="false">(AD104/G104)*100000</f>
        <v>821.171468891231</v>
      </c>
      <c r="AF104" s="6" t="n">
        <v>1570</v>
      </c>
      <c r="AG104" s="6" t="n">
        <v>344</v>
      </c>
      <c r="AH104" s="6" t="n">
        <v>480</v>
      </c>
      <c r="AI104" s="4" t="n">
        <f aca="false">(AH104/G104)*100000</f>
        <v>85.7433772172701</v>
      </c>
      <c r="AJ104" s="5" t="n">
        <f aca="false">Y104/J104</f>
        <v>0.0193308959823062</v>
      </c>
      <c r="AK104" s="2" t="n">
        <f aca="false">(Q104/Y104)*100000</f>
        <v>7328.99022801303</v>
      </c>
      <c r="AL104" s="2" t="n">
        <v>3478</v>
      </c>
      <c r="AM104" s="4" t="n">
        <f aca="false">(AL104/G104)*100000</f>
        <v>621.28222075347</v>
      </c>
      <c r="AN104" s="4" t="n">
        <f aca="false">1105.08-AM104</f>
        <v>483.79777924653</v>
      </c>
      <c r="AO104" s="6" t="n">
        <v>0.956</v>
      </c>
      <c r="AP104" s="6" t="n">
        <v>0.133</v>
      </c>
      <c r="AQ104" s="4" t="n">
        <f aca="false">J104/G104</f>
        <v>0.453905789464283</v>
      </c>
    </row>
    <row r="105" s="27" customFormat="true" ht="15" hidden="false" customHeight="false" outlineLevel="0" collapsed="false">
      <c r="A105" s="21" t="n">
        <v>63001</v>
      </c>
      <c r="B105" s="22" t="n">
        <v>63</v>
      </c>
      <c r="C105" s="22" t="s">
        <v>95</v>
      </c>
      <c r="D105" s="21" t="s">
        <v>96</v>
      </c>
      <c r="E105" s="21" t="s">
        <v>48</v>
      </c>
      <c r="F105" s="23" t="n">
        <v>307886</v>
      </c>
      <c r="G105" s="23" t="n">
        <v>563076</v>
      </c>
      <c r="H105" s="23" t="n">
        <v>271252</v>
      </c>
      <c r="I105" s="23" t="n">
        <v>291824</v>
      </c>
      <c r="J105" s="23" t="n">
        <v>258022</v>
      </c>
      <c r="K105" s="23" t="n">
        <v>118303</v>
      </c>
      <c r="L105" s="23" t="n">
        <v>139719</v>
      </c>
      <c r="M105" s="24" t="n">
        <v>0.0740740740740741</v>
      </c>
      <c r="N105" s="25" t="n">
        <f aca="false">M105*100000</f>
        <v>7407.40740740741</v>
      </c>
      <c r="O105" s="26" t="n">
        <v>202</v>
      </c>
      <c r="P105" s="26" t="n">
        <v>206</v>
      </c>
      <c r="Q105" s="27" t="n">
        <v>408</v>
      </c>
      <c r="R105" s="27" t="n">
        <v>72.46</v>
      </c>
      <c r="S105" s="28" t="n">
        <v>407</v>
      </c>
      <c r="T105" s="29" t="n">
        <f aca="false">(S105/J105)*100000</f>
        <v>157.738487415802</v>
      </c>
      <c r="U105" s="30" t="n">
        <v>1208</v>
      </c>
      <c r="V105" s="30" t="n">
        <v>182</v>
      </c>
      <c r="W105" s="30" t="n">
        <v>93</v>
      </c>
      <c r="X105" s="30" t="n">
        <v>4834</v>
      </c>
      <c r="Y105" s="30" t="n">
        <v>5070</v>
      </c>
      <c r="Z105" s="31" t="n">
        <f aca="false">(Y105/G105)*100000</f>
        <v>900.411312149692</v>
      </c>
      <c r="AA105" s="26" t="n">
        <v>2655</v>
      </c>
      <c r="AB105" s="27" t="n">
        <v>430</v>
      </c>
      <c r="AC105" s="25" t="n">
        <f aca="false">(AB105/G105)*100000</f>
        <v>76.3662454091455</v>
      </c>
      <c r="AD105" s="27" t="n">
        <v>4779</v>
      </c>
      <c r="AE105" s="25" t="n">
        <f aca="false">(AD105/G105)*100000</f>
        <v>848.730899558852</v>
      </c>
      <c r="AF105" s="27" t="n">
        <v>1416</v>
      </c>
      <c r="AG105" s="27" t="n">
        <v>330</v>
      </c>
      <c r="AH105" s="27" t="n">
        <v>424</v>
      </c>
      <c r="AI105" s="25" t="n">
        <f aca="false">(AH105/G105)*100000</f>
        <v>75.3006698918086</v>
      </c>
      <c r="AJ105" s="32" t="n">
        <f aca="false">Y105/J105</f>
        <v>0.0196494872530249</v>
      </c>
      <c r="AK105" s="26" t="n">
        <f aca="false">(Q105/Y105)*100000</f>
        <v>8047.33727810651</v>
      </c>
      <c r="AL105" s="26" t="n">
        <v>2492</v>
      </c>
      <c r="AM105" s="25" t="n">
        <f aca="false">(AL105/G105)*100000</f>
        <v>442.569031533932</v>
      </c>
      <c r="AN105" s="25" t="n">
        <f aca="false">1105.08-AM105</f>
        <v>662.510968466068</v>
      </c>
      <c r="AO105" s="27" t="n">
        <v>0.957</v>
      </c>
      <c r="AP105" s="27" t="n">
        <v>0.15</v>
      </c>
      <c r="AQ105" s="25" t="n">
        <f aca="false">J105/G105</f>
        <v>0.458236543557175</v>
      </c>
    </row>
    <row r="106" customFormat="false" ht="15" hidden="false" customHeight="false" outlineLevel="0" collapsed="false">
      <c r="A106" s="14" t="n">
        <v>66001</v>
      </c>
      <c r="B106" s="15" t="n">
        <v>66</v>
      </c>
      <c r="C106" s="15" t="s">
        <v>97</v>
      </c>
      <c r="D106" s="14" t="s">
        <v>98</v>
      </c>
      <c r="E106" s="14" t="s">
        <v>45</v>
      </c>
      <c r="F106" s="16" t="n">
        <v>477068</v>
      </c>
      <c r="G106" s="16" t="n">
        <v>962779</v>
      </c>
      <c r="H106" s="16" t="n">
        <v>460389</v>
      </c>
      <c r="I106" s="16" t="n">
        <v>502390</v>
      </c>
      <c r="J106" s="16" t="n">
        <v>405523</v>
      </c>
      <c r="K106" s="16" t="n">
        <v>183186</v>
      </c>
      <c r="L106" s="16" t="n">
        <v>222337</v>
      </c>
      <c r="M106" s="3" t="n">
        <v>0.0653983353151011</v>
      </c>
      <c r="N106" s="4" t="n">
        <f aca="false">M106*100000</f>
        <v>6539.83353151011</v>
      </c>
      <c r="O106" s="2" t="n">
        <v>239</v>
      </c>
      <c r="P106" s="2" t="n">
        <v>173</v>
      </c>
      <c r="Q106" s="6" t="n">
        <v>412</v>
      </c>
      <c r="R106" s="6" t="n">
        <v>42.79</v>
      </c>
      <c r="S106" s="17" t="n">
        <v>411</v>
      </c>
      <c r="T106" s="18" t="n">
        <f aca="false">(S106/J106)*100000</f>
        <v>101.350601568838</v>
      </c>
      <c r="U106" s="19" t="n">
        <v>2869</v>
      </c>
      <c r="V106" s="19" t="n">
        <v>406</v>
      </c>
      <c r="W106" s="19" t="n">
        <v>489</v>
      </c>
      <c r="X106" s="19" t="n">
        <v>9051</v>
      </c>
      <c r="Y106" s="19" t="n">
        <v>9950</v>
      </c>
      <c r="Z106" s="20" t="n">
        <f aca="false">(Y106/G106)*100000</f>
        <v>1033.46666265051</v>
      </c>
      <c r="AA106" s="2" t="n">
        <v>5095</v>
      </c>
      <c r="AB106" s="6" t="n">
        <v>1078</v>
      </c>
      <c r="AC106" s="4" t="n">
        <f aca="false">(AB106/G106)*100000</f>
        <v>111.967543953493</v>
      </c>
      <c r="AD106" s="6" t="n">
        <v>8981</v>
      </c>
      <c r="AE106" s="4" t="n">
        <f aca="false">(AD106/G106)*100000</f>
        <v>932.820512287867</v>
      </c>
      <c r="AF106" s="6" t="n">
        <v>3497</v>
      </c>
      <c r="AG106" s="6" t="n">
        <v>476</v>
      </c>
      <c r="AH106" s="6" t="n">
        <v>782</v>
      </c>
      <c r="AI106" s="4" t="n">
        <f aca="false">(AH106/G106)*100000</f>
        <v>81.2232090645932</v>
      </c>
      <c r="AJ106" s="5" t="n">
        <f aca="false">Y106/J106</f>
        <v>0.0245362161948891</v>
      </c>
      <c r="AK106" s="2" t="n">
        <f aca="false">(Q106/Y106)*100000</f>
        <v>4140.70351758794</v>
      </c>
      <c r="AL106" s="2" t="n">
        <v>4884</v>
      </c>
      <c r="AM106" s="4" t="n">
        <f aca="false">(AL106/G106)*100000</f>
        <v>507.281525666846</v>
      </c>
      <c r="AN106" s="4" t="n">
        <f aca="false">1105.08-AM106</f>
        <v>597.798474333154</v>
      </c>
      <c r="AO106" s="6" t="n">
        <v>0.826</v>
      </c>
      <c r="AP106" s="6" t="n">
        <v>0.278</v>
      </c>
      <c r="AQ106" s="4" t="n">
        <f aca="false">J106/G106</f>
        <v>0.421200503957814</v>
      </c>
    </row>
    <row r="107" customFormat="false" ht="15" hidden="false" customHeight="false" outlineLevel="0" collapsed="false">
      <c r="A107" s="14" t="n">
        <v>66001</v>
      </c>
      <c r="B107" s="15" t="n">
        <v>66</v>
      </c>
      <c r="C107" s="15" t="s">
        <v>97</v>
      </c>
      <c r="D107" s="14" t="s">
        <v>98</v>
      </c>
      <c r="E107" s="14" t="s">
        <v>46</v>
      </c>
      <c r="F107" s="16" t="n">
        <v>479864</v>
      </c>
      <c r="G107" s="16" t="n">
        <v>968287</v>
      </c>
      <c r="H107" s="16" t="n">
        <v>462725</v>
      </c>
      <c r="I107" s="16" t="n">
        <v>505562</v>
      </c>
      <c r="J107" s="16" t="n">
        <v>411824</v>
      </c>
      <c r="K107" s="16" t="n">
        <v>185569</v>
      </c>
      <c r="L107" s="16" t="n">
        <v>226255</v>
      </c>
      <c r="M107" s="3" t="n">
        <v>0.0671378091872792</v>
      </c>
      <c r="N107" s="4" t="n">
        <f aca="false">M107*100000</f>
        <v>6713.78091872792</v>
      </c>
      <c r="O107" s="2" t="n">
        <v>203</v>
      </c>
      <c r="P107" s="2" t="n">
        <v>151</v>
      </c>
      <c r="Q107" s="6" t="n">
        <v>354</v>
      </c>
      <c r="R107" s="6" t="n">
        <v>36.56</v>
      </c>
      <c r="S107" s="17" t="n">
        <v>352</v>
      </c>
      <c r="T107" s="18" t="n">
        <f aca="false">(S107/J107)*100000</f>
        <v>85.4734061152337</v>
      </c>
      <c r="U107" s="19" t="n">
        <v>2023</v>
      </c>
      <c r="V107" s="19" t="n">
        <v>430</v>
      </c>
      <c r="W107" s="19" t="n">
        <v>494</v>
      </c>
      <c r="X107" s="19" t="n">
        <v>8504</v>
      </c>
      <c r="Y107" s="19" t="n">
        <v>9165</v>
      </c>
      <c r="Z107" s="20" t="n">
        <f aca="false">(Y107/G107)*100000</f>
        <v>946.516890136912</v>
      </c>
      <c r="AA107" s="2" t="n">
        <v>5269</v>
      </c>
      <c r="AB107" s="6" t="n">
        <v>161</v>
      </c>
      <c r="AC107" s="4" t="n">
        <f aca="false">(AB107/G107)*100000</f>
        <v>16.6273016161531</v>
      </c>
      <c r="AD107" s="6" t="n">
        <v>8361</v>
      </c>
      <c r="AE107" s="4" t="n">
        <f aca="false">(AD107/G107)*100000</f>
        <v>863.483657221464</v>
      </c>
      <c r="AF107" s="6" t="n">
        <v>2741</v>
      </c>
      <c r="AG107" s="6" t="n">
        <v>525</v>
      </c>
      <c r="AH107" s="6" t="n">
        <v>750</v>
      </c>
      <c r="AI107" s="4" t="n">
        <f aca="false">(AH107/G107)*100000</f>
        <v>77.4563739882907</v>
      </c>
      <c r="AJ107" s="5" t="n">
        <f aca="false">Y107/J107</f>
        <v>0.022254652472901</v>
      </c>
      <c r="AK107" s="2" t="n">
        <f aca="false">(Q107/Y107)*100000</f>
        <v>3862.52045826514</v>
      </c>
      <c r="AL107" s="2" t="n">
        <v>5230</v>
      </c>
      <c r="AM107" s="4" t="n">
        <f aca="false">(AL107/G107)*100000</f>
        <v>540.12911461168</v>
      </c>
      <c r="AN107" s="4" t="n">
        <f aca="false">1105.08-AM107</f>
        <v>564.95088538832</v>
      </c>
      <c r="AO107" s="6" t="n">
        <v>0.955</v>
      </c>
      <c r="AP107" s="6" t="n">
        <v>0.228</v>
      </c>
      <c r="AQ107" s="4" t="n">
        <f aca="false">J107/G107</f>
        <v>0.425311916818051</v>
      </c>
    </row>
    <row r="108" customFormat="false" ht="15" hidden="false" customHeight="false" outlineLevel="0" collapsed="false">
      <c r="A108" s="14" t="n">
        <v>66001</v>
      </c>
      <c r="B108" s="15" t="n">
        <v>66</v>
      </c>
      <c r="C108" s="15" t="s">
        <v>97</v>
      </c>
      <c r="D108" s="14" t="s">
        <v>98</v>
      </c>
      <c r="E108" s="14" t="s">
        <v>47</v>
      </c>
      <c r="F108" s="16" t="n">
        <v>480739</v>
      </c>
      <c r="G108" s="16" t="n">
        <v>970138</v>
      </c>
      <c r="H108" s="16" t="n">
        <v>463280</v>
      </c>
      <c r="I108" s="16" t="n">
        <v>506858</v>
      </c>
      <c r="J108" s="16" t="n">
        <v>416773</v>
      </c>
      <c r="K108" s="16" t="n">
        <v>187312</v>
      </c>
      <c r="L108" s="16" t="n">
        <v>229461</v>
      </c>
      <c r="M108" s="3" t="n">
        <v>0.0789779326364692</v>
      </c>
      <c r="N108" s="4" t="n">
        <f aca="false">M108*100000</f>
        <v>7897.79326364692</v>
      </c>
      <c r="O108" s="2" t="n">
        <v>294</v>
      </c>
      <c r="P108" s="2" t="n">
        <v>257</v>
      </c>
      <c r="Q108" s="6" t="n">
        <v>551</v>
      </c>
      <c r="R108" s="6" t="n">
        <v>56.8</v>
      </c>
      <c r="S108" s="17" t="n">
        <v>548</v>
      </c>
      <c r="T108" s="18" t="n">
        <f aca="false">(S108/J108)*100000</f>
        <v>131.486444659323</v>
      </c>
      <c r="U108" s="19" t="n">
        <v>2177</v>
      </c>
      <c r="V108" s="19" t="n">
        <v>685</v>
      </c>
      <c r="W108" s="19" t="n">
        <v>616</v>
      </c>
      <c r="X108" s="19" t="n">
        <v>8721</v>
      </c>
      <c r="Y108" s="19" t="n">
        <v>9192</v>
      </c>
      <c r="Z108" s="20" t="n">
        <f aca="false">(Y108/G108)*100000</f>
        <v>947.494067854264</v>
      </c>
      <c r="AA108" s="2" t="n">
        <v>4697</v>
      </c>
      <c r="AB108" s="6" t="n">
        <v>869</v>
      </c>
      <c r="AC108" s="4" t="n">
        <f aca="false">(AB108/G108)*100000</f>
        <v>89.5748852225147</v>
      </c>
      <c r="AD108" s="6" t="n">
        <v>8613</v>
      </c>
      <c r="AE108" s="4" t="n">
        <f aca="false">(AD108/G108)*100000</f>
        <v>887.811837078849</v>
      </c>
      <c r="AF108" s="6" t="n">
        <v>3135</v>
      </c>
      <c r="AG108" s="6" t="n">
        <v>702</v>
      </c>
      <c r="AH108" s="6" t="n">
        <v>852</v>
      </c>
      <c r="AI108" s="4" t="n">
        <f aca="false">(AH108/G108)*100000</f>
        <v>87.822557203202</v>
      </c>
      <c r="AJ108" s="5" t="n">
        <f aca="false">Y108/J108</f>
        <v>0.022055171520228</v>
      </c>
      <c r="AK108" s="2" t="n">
        <f aca="false">(Q108/Y108)*100000</f>
        <v>5994.34290687554</v>
      </c>
      <c r="AL108" s="2" t="n">
        <v>5903</v>
      </c>
      <c r="AM108" s="4" t="n">
        <f aca="false">(AL108/G108)*100000</f>
        <v>608.470135176645</v>
      </c>
      <c r="AN108" s="4" t="n">
        <f aca="false">1105.08-AM108</f>
        <v>496.609864823355</v>
      </c>
      <c r="AO108" s="6" t="n">
        <v>0.918</v>
      </c>
      <c r="AP108" s="6" t="n">
        <v>0.208</v>
      </c>
      <c r="AQ108" s="4" t="n">
        <f aca="false">J108/G108</f>
        <v>0.429601767995893</v>
      </c>
    </row>
    <row r="109" customFormat="false" ht="15" hidden="false" customHeight="false" outlineLevel="0" collapsed="false">
      <c r="A109" s="14" t="n">
        <v>66001</v>
      </c>
      <c r="B109" s="15" t="n">
        <v>66</v>
      </c>
      <c r="C109" s="15" t="s">
        <v>97</v>
      </c>
      <c r="D109" s="14" t="s">
        <v>98</v>
      </c>
      <c r="E109" s="14" t="s">
        <v>48</v>
      </c>
      <c r="F109" s="16" t="n">
        <v>481768</v>
      </c>
      <c r="G109" s="16" t="n">
        <v>972304</v>
      </c>
      <c r="H109" s="16" t="n">
        <v>464067</v>
      </c>
      <c r="I109" s="16" t="n">
        <v>508237</v>
      </c>
      <c r="J109" s="16" t="n">
        <v>422179</v>
      </c>
      <c r="K109" s="16" t="n">
        <v>189348</v>
      </c>
      <c r="L109" s="16" t="n">
        <v>232831</v>
      </c>
      <c r="M109" s="3" t="n">
        <v>0.0756880733944954</v>
      </c>
      <c r="N109" s="4" t="n">
        <f aca="false">M109*100000</f>
        <v>7568.80733944954</v>
      </c>
      <c r="O109" s="2" t="n">
        <v>254</v>
      </c>
      <c r="P109" s="2" t="n">
        <v>222</v>
      </c>
      <c r="Q109" s="6" t="n">
        <v>476</v>
      </c>
      <c r="R109" s="6" t="n">
        <v>48.96</v>
      </c>
      <c r="S109" s="17" t="n">
        <v>474</v>
      </c>
      <c r="T109" s="18" t="n">
        <f aca="false">(S109/J109)*100000</f>
        <v>112.274651273512</v>
      </c>
      <c r="U109" s="19" t="n">
        <v>1625</v>
      </c>
      <c r="V109" s="19" t="n">
        <v>554</v>
      </c>
      <c r="W109" s="19" t="n">
        <v>375</v>
      </c>
      <c r="X109" s="19" t="n">
        <v>8075</v>
      </c>
      <c r="Y109" s="19" t="n">
        <v>8409</v>
      </c>
      <c r="Z109" s="20" t="n">
        <f aca="false">(Y109/G109)*100000</f>
        <v>864.85296779608</v>
      </c>
      <c r="AA109" s="2" t="n">
        <v>4671</v>
      </c>
      <c r="AB109" s="6" t="n">
        <v>349</v>
      </c>
      <c r="AC109" s="4" t="n">
        <f aca="false">(AB109/G109)*100000</f>
        <v>35.8941236485708</v>
      </c>
      <c r="AD109" s="6" t="n">
        <v>7947</v>
      </c>
      <c r="AE109" s="4" t="n">
        <f aca="false">(AD109/G109)*100000</f>
        <v>817.336964570752</v>
      </c>
      <c r="AF109" s="6" t="n">
        <v>2321</v>
      </c>
      <c r="AG109" s="6" t="n">
        <v>718</v>
      </c>
      <c r="AH109" s="6" t="n">
        <v>929</v>
      </c>
      <c r="AI109" s="4" t="n">
        <f aca="false">(AH109/G109)*100000</f>
        <v>95.546248909806</v>
      </c>
      <c r="AJ109" s="5" t="n">
        <f aca="false">Y109/J109</f>
        <v>0.019918091615168</v>
      </c>
      <c r="AK109" s="2" t="n">
        <f aca="false">(Q109/Y109)*100000</f>
        <v>5660.60173623499</v>
      </c>
      <c r="AL109" s="2" t="n">
        <v>3892</v>
      </c>
      <c r="AM109" s="4" t="n">
        <f aca="false">(AL109/G109)*100000</f>
        <v>400.286330201254</v>
      </c>
      <c r="AN109" s="4" t="n">
        <f aca="false">1105.08-AM109</f>
        <v>704.793669798746</v>
      </c>
      <c r="AO109" s="6" t="n">
        <v>0.922</v>
      </c>
      <c r="AP109" s="6" t="n">
        <v>0.132</v>
      </c>
      <c r="AQ109" s="4" t="n">
        <f aca="false">J109/G109</f>
        <v>0.434204734321776</v>
      </c>
    </row>
    <row r="110" customFormat="false" ht="15" hidden="false" customHeight="false" outlineLevel="0" collapsed="false">
      <c r="A110" s="14" t="n">
        <v>68001</v>
      </c>
      <c r="B110" s="15" t="n">
        <v>68</v>
      </c>
      <c r="C110" s="15" t="s">
        <v>99</v>
      </c>
      <c r="D110" s="14" t="s">
        <v>100</v>
      </c>
      <c r="E110" s="14" t="s">
        <v>45</v>
      </c>
      <c r="F110" s="16" t="n">
        <v>600098</v>
      </c>
      <c r="G110" s="16" t="n">
        <v>2282208</v>
      </c>
      <c r="H110" s="16" t="n">
        <v>1117702</v>
      </c>
      <c r="I110" s="16" t="n">
        <v>1164506</v>
      </c>
      <c r="J110" s="16" t="n">
        <v>891078</v>
      </c>
      <c r="K110" s="16" t="n">
        <v>413697</v>
      </c>
      <c r="L110" s="16" t="n">
        <v>477381</v>
      </c>
      <c r="M110" s="3" t="n">
        <v>0.0427698574338086</v>
      </c>
      <c r="N110" s="4" t="n">
        <f aca="false">M110*100000</f>
        <v>4276.98574338086</v>
      </c>
      <c r="O110" s="2" t="n">
        <v>308</v>
      </c>
      <c r="P110" s="2" t="n">
        <v>252</v>
      </c>
      <c r="Q110" s="6" t="n">
        <v>560</v>
      </c>
      <c r="R110" s="6" t="n">
        <v>24.54</v>
      </c>
      <c r="S110" s="17" t="n">
        <v>553</v>
      </c>
      <c r="T110" s="18" t="n">
        <f aca="false">(S110/J110)*100000</f>
        <v>62.0596625660156</v>
      </c>
      <c r="U110" s="19" t="n">
        <v>1979</v>
      </c>
      <c r="V110" s="19" t="n">
        <v>334</v>
      </c>
      <c r="W110" s="19" t="n">
        <v>568</v>
      </c>
      <c r="X110" s="19" t="n">
        <v>10799</v>
      </c>
      <c r="Y110" s="19" t="n">
        <v>11443</v>
      </c>
      <c r="Z110" s="20" t="n">
        <f aca="false">(Y110/G110)*100000</f>
        <v>501.400398210856</v>
      </c>
      <c r="AA110" s="2" t="n">
        <v>4459</v>
      </c>
      <c r="AB110" s="6" t="n">
        <v>330</v>
      </c>
      <c r="AC110" s="4" t="n">
        <f aca="false">(AB110/G110)*100000</f>
        <v>14.4596811508855</v>
      </c>
      <c r="AD110" s="6" t="n">
        <v>10621</v>
      </c>
      <c r="AE110" s="4" t="n">
        <f aca="false">(AD110/G110)*100000</f>
        <v>465.382646980468</v>
      </c>
      <c r="AF110" s="6" t="n">
        <v>2659</v>
      </c>
      <c r="AG110" s="6" t="n">
        <v>777</v>
      </c>
      <c r="AH110" s="6" t="n">
        <v>650</v>
      </c>
      <c r="AI110" s="4" t="n">
        <f aca="false">(AH110/G110)*100000</f>
        <v>28.4811901456835</v>
      </c>
      <c r="AJ110" s="5" t="n">
        <f aca="false">Y110/J110</f>
        <v>0.0128417489826929</v>
      </c>
      <c r="AK110" s="2" t="n">
        <f aca="false">(Q110/Y110)*100000</f>
        <v>4893.82155029276</v>
      </c>
      <c r="AL110" s="2" t="n">
        <v>4849</v>
      </c>
      <c r="AM110" s="4" t="n">
        <f aca="false">(AL110/G110)*100000</f>
        <v>212.469678486799</v>
      </c>
      <c r="AN110" s="4" t="n">
        <f aca="false">1105.08-AM110</f>
        <v>892.610321513201</v>
      </c>
      <c r="AO110" s="6" t="n">
        <v>0.96</v>
      </c>
      <c r="AP110" s="6" t="n">
        <v>0.119</v>
      </c>
      <c r="AQ110" s="4" t="n">
        <f aca="false">J110/G110</f>
        <v>0.390445568502082</v>
      </c>
    </row>
    <row r="111" customFormat="false" ht="15" hidden="false" customHeight="false" outlineLevel="0" collapsed="false">
      <c r="A111" s="14" t="n">
        <v>68001</v>
      </c>
      <c r="B111" s="15" t="n">
        <v>68</v>
      </c>
      <c r="C111" s="15" t="s">
        <v>99</v>
      </c>
      <c r="D111" s="14" t="s">
        <v>100</v>
      </c>
      <c r="E111" s="14" t="s">
        <v>46</v>
      </c>
      <c r="F111" s="16" t="n">
        <v>604462</v>
      </c>
      <c r="G111" s="16" t="n">
        <v>2312097</v>
      </c>
      <c r="H111" s="16" t="n">
        <v>1131704</v>
      </c>
      <c r="I111" s="16" t="n">
        <v>1180393</v>
      </c>
      <c r="J111" s="16" t="n">
        <v>913093</v>
      </c>
      <c r="K111" s="16" t="n">
        <v>423448</v>
      </c>
      <c r="L111" s="16" t="n">
        <v>489645</v>
      </c>
      <c r="M111" s="3" t="n">
        <v>0.0347782258064516</v>
      </c>
      <c r="N111" s="4" t="n">
        <f aca="false">M111*100000</f>
        <v>3477.82258064516</v>
      </c>
      <c r="O111" s="2" t="n">
        <v>262</v>
      </c>
      <c r="P111" s="2" t="n">
        <v>231</v>
      </c>
      <c r="Q111" s="6" t="n">
        <v>493</v>
      </c>
      <c r="R111" s="6" t="n">
        <v>21.32</v>
      </c>
      <c r="S111" s="17" t="n">
        <v>487</v>
      </c>
      <c r="T111" s="18" t="n">
        <f aca="false">(S111/J111)*100000</f>
        <v>53.3352024383059</v>
      </c>
      <c r="U111" s="19" t="n">
        <v>2335</v>
      </c>
      <c r="V111" s="19" t="n">
        <v>196</v>
      </c>
      <c r="W111" s="19" t="n">
        <v>274</v>
      </c>
      <c r="X111" s="19" t="n">
        <v>10060</v>
      </c>
      <c r="Y111" s="19" t="n">
        <v>10843</v>
      </c>
      <c r="Z111" s="20" t="n">
        <f aca="false">(Y111/G111)*100000</f>
        <v>468.968213703837</v>
      </c>
      <c r="AA111" s="2" t="n">
        <v>4236</v>
      </c>
      <c r="AB111" s="6" t="n">
        <v>309</v>
      </c>
      <c r="AC111" s="4" t="n">
        <f aca="false">(AB111/G111)*100000</f>
        <v>13.3644911956549</v>
      </c>
      <c r="AD111" s="6" t="n">
        <v>9963</v>
      </c>
      <c r="AE111" s="4" t="n">
        <f aca="false">(AD111/G111)*100000</f>
        <v>430.90752680359</v>
      </c>
      <c r="AF111" s="6" t="n">
        <v>2682</v>
      </c>
      <c r="AG111" s="6" t="n">
        <v>417</v>
      </c>
      <c r="AH111" s="6" t="n">
        <v>363</v>
      </c>
      <c r="AI111" s="4" t="n">
        <f aca="false">(AH111/G111)*100000</f>
        <v>15.7000333463518</v>
      </c>
      <c r="AJ111" s="5" t="n">
        <f aca="false">Y111/J111</f>
        <v>0.0118750225880606</v>
      </c>
      <c r="AK111" s="2" t="n">
        <f aca="false">(Q111/Y111)*100000</f>
        <v>4546.71216453011</v>
      </c>
      <c r="AL111" s="2" t="n">
        <v>7464</v>
      </c>
      <c r="AM111" s="4" t="n">
        <f aca="false">(AL111/G111)*100000</f>
        <v>322.823826163003</v>
      </c>
      <c r="AN111" s="4" t="n">
        <f aca="false">1105.08-AM111</f>
        <v>782.256173836997</v>
      </c>
      <c r="AO111" s="6" t="n">
        <v>0.893</v>
      </c>
      <c r="AP111" s="6" t="n">
        <v>0.07</v>
      </c>
      <c r="AQ111" s="4" t="n">
        <f aca="false">J111/G111</f>
        <v>0.39491984981599</v>
      </c>
    </row>
    <row r="112" customFormat="false" ht="15" hidden="false" customHeight="false" outlineLevel="0" collapsed="false">
      <c r="A112" s="14" t="n">
        <v>68001</v>
      </c>
      <c r="B112" s="15" t="n">
        <v>68</v>
      </c>
      <c r="C112" s="15" t="s">
        <v>99</v>
      </c>
      <c r="D112" s="14" t="s">
        <v>100</v>
      </c>
      <c r="E112" s="14" t="s">
        <v>47</v>
      </c>
      <c r="F112" s="16" t="n">
        <v>610125</v>
      </c>
      <c r="G112" s="16" t="n">
        <v>2335238</v>
      </c>
      <c r="H112" s="16" t="n">
        <v>1142452</v>
      </c>
      <c r="I112" s="16" t="n">
        <v>1192786</v>
      </c>
      <c r="J112" s="16" t="n">
        <v>933400</v>
      </c>
      <c r="K112" s="16" t="n">
        <v>432450</v>
      </c>
      <c r="L112" s="16" t="n">
        <v>500950</v>
      </c>
      <c r="M112" s="3" t="n">
        <v>0.0470941883767535</v>
      </c>
      <c r="N112" s="4" t="n">
        <f aca="false">M112*100000</f>
        <v>4709.41883767535</v>
      </c>
      <c r="O112" s="2" t="n">
        <v>344</v>
      </c>
      <c r="P112" s="2" t="n">
        <v>268</v>
      </c>
      <c r="Q112" s="6" t="n">
        <v>612</v>
      </c>
      <c r="R112" s="6" t="n">
        <v>26.21</v>
      </c>
      <c r="S112" s="17" t="n">
        <v>612</v>
      </c>
      <c r="T112" s="18" t="n">
        <f aca="false">(S112/J112)*100000</f>
        <v>65.5667452324834</v>
      </c>
      <c r="U112" s="19" t="n">
        <v>1687</v>
      </c>
      <c r="V112" s="19" t="n">
        <v>428</v>
      </c>
      <c r="W112" s="19" t="n">
        <v>410</v>
      </c>
      <c r="X112" s="19" t="n">
        <v>11568</v>
      </c>
      <c r="Y112" s="19" t="n">
        <v>11929</v>
      </c>
      <c r="Z112" s="20" t="n">
        <f aca="false">(Y112/G112)*100000</f>
        <v>510.825877276749</v>
      </c>
      <c r="AA112" s="2" t="n">
        <v>5325</v>
      </c>
      <c r="AB112" s="6" t="n">
        <v>328</v>
      </c>
      <c r="AC112" s="4" t="n">
        <f aca="false">(AB112/G112)*100000</f>
        <v>14.045677571194</v>
      </c>
      <c r="AD112" s="6" t="n">
        <v>11379</v>
      </c>
      <c r="AE112" s="4" t="n">
        <f aca="false">(AD112/G112)*100000</f>
        <v>487.273674032368</v>
      </c>
      <c r="AF112" s="6" t="n">
        <v>2344</v>
      </c>
      <c r="AG112" s="6" t="n">
        <v>858</v>
      </c>
      <c r="AH112" s="6" t="n">
        <v>842</v>
      </c>
      <c r="AI112" s="4" t="n">
        <f aca="false">(AH112/G112)*100000</f>
        <v>36.0562820577603</v>
      </c>
      <c r="AJ112" s="5" t="n">
        <f aca="false">Y112/J112</f>
        <v>0.0127801585601029</v>
      </c>
      <c r="AK112" s="2" t="n">
        <f aca="false">(Q112/Y112)*100000</f>
        <v>5130.35459803839</v>
      </c>
      <c r="AL112" s="2" t="n">
        <v>11422</v>
      </c>
      <c r="AM112" s="4" t="n">
        <f aca="false">(AL112/G112)*100000</f>
        <v>489.115028104202</v>
      </c>
      <c r="AN112" s="4" t="n">
        <f aca="false">1105.08-AM112</f>
        <v>615.964971895798</v>
      </c>
      <c r="AO112" s="6" t="n">
        <v>0.888</v>
      </c>
      <c r="AP112" s="6" t="n">
        <v>0.088</v>
      </c>
      <c r="AQ112" s="4" t="n">
        <f aca="false">J112/G112</f>
        <v>0.399702300150991</v>
      </c>
    </row>
    <row r="113" customFormat="false" ht="15" hidden="false" customHeight="false" outlineLevel="0" collapsed="false">
      <c r="A113" s="14" t="n">
        <v>68001</v>
      </c>
      <c r="B113" s="15" t="n">
        <v>68</v>
      </c>
      <c r="C113" s="15" t="s">
        <v>99</v>
      </c>
      <c r="D113" s="14" t="s">
        <v>100</v>
      </c>
      <c r="E113" s="14" t="s">
        <v>48</v>
      </c>
      <c r="F113" s="16" t="n">
        <v>614860</v>
      </c>
      <c r="G113" s="16" t="n">
        <v>2357127</v>
      </c>
      <c r="H113" s="16" t="n">
        <v>1153060</v>
      </c>
      <c r="I113" s="16" t="n">
        <v>1204067</v>
      </c>
      <c r="J113" s="16" t="n">
        <v>955297</v>
      </c>
      <c r="K113" s="16" t="n">
        <v>442654</v>
      </c>
      <c r="L113" s="16" t="n">
        <v>512643</v>
      </c>
      <c r="M113" s="3" t="n">
        <v>0.0582716049382716</v>
      </c>
      <c r="N113" s="4" t="n">
        <f aca="false">M113*100000</f>
        <v>5827.16049382716</v>
      </c>
      <c r="O113" s="2" t="n">
        <v>272</v>
      </c>
      <c r="P113" s="2" t="n">
        <v>245</v>
      </c>
      <c r="Q113" s="6" t="n">
        <v>517</v>
      </c>
      <c r="R113" s="6" t="n">
        <v>21.93</v>
      </c>
      <c r="S113" s="17" t="n">
        <v>513</v>
      </c>
      <c r="T113" s="18" t="n">
        <f aca="false">(S113/J113)*100000</f>
        <v>53.7005768886535</v>
      </c>
      <c r="U113" s="19" t="n">
        <v>1766</v>
      </c>
      <c r="V113" s="19" t="n">
        <v>367</v>
      </c>
      <c r="W113" s="19" t="n">
        <v>452</v>
      </c>
      <c r="X113" s="19" t="n">
        <v>11643</v>
      </c>
      <c r="Y113" s="19" t="n">
        <v>12065</v>
      </c>
      <c r="Z113" s="20" t="n">
        <f aca="false">(Y113/G113)*100000</f>
        <v>511.851928216002</v>
      </c>
      <c r="AA113" s="2" t="n">
        <v>5471</v>
      </c>
      <c r="AB113" s="6" t="n">
        <v>350</v>
      </c>
      <c r="AC113" s="4" t="n">
        <f aca="false">(AB113/G113)*100000</f>
        <v>14.848584738964</v>
      </c>
      <c r="AD113" s="6" t="n">
        <v>11471</v>
      </c>
      <c r="AE113" s="4" t="n">
        <f aca="false">(AD113/G113)*100000</f>
        <v>486.651758687589</v>
      </c>
      <c r="AF113" s="6" t="n">
        <v>2375</v>
      </c>
      <c r="AG113" s="6" t="n">
        <v>921</v>
      </c>
      <c r="AH113" s="6" t="n">
        <v>908</v>
      </c>
      <c r="AI113" s="4" t="n">
        <f aca="false">(AH113/G113)*100000</f>
        <v>38.5214712656552</v>
      </c>
      <c r="AJ113" s="5" t="n">
        <f aca="false">Y113/J113</f>
        <v>0.0126295801201092</v>
      </c>
      <c r="AK113" s="2" t="n">
        <f aca="false">(Q113/Y113)*100000</f>
        <v>4285.12225445504</v>
      </c>
      <c r="AL113" s="2" t="n">
        <v>9714</v>
      </c>
      <c r="AM113" s="4" t="n">
        <f aca="false">(AL113/G113)*100000</f>
        <v>412.111863297989</v>
      </c>
      <c r="AN113" s="4" t="n">
        <f aca="false">1105.08-AM113</f>
        <v>692.968136702011</v>
      </c>
      <c r="AO113" s="6" t="n">
        <v>0.904</v>
      </c>
      <c r="AP113" s="6" t="n">
        <v>0.05</v>
      </c>
      <c r="AQ113" s="4" t="n">
        <f aca="false">J113/G113</f>
        <v>0.405280241582231</v>
      </c>
    </row>
    <row r="114" customFormat="false" ht="15" hidden="false" customHeight="false" outlineLevel="0" collapsed="false">
      <c r="A114" s="14" t="n">
        <v>70001</v>
      </c>
      <c r="B114" s="15" t="n">
        <v>70</v>
      </c>
      <c r="C114" s="15" t="s">
        <v>101</v>
      </c>
      <c r="D114" s="14" t="s">
        <v>102</v>
      </c>
      <c r="E114" s="14" t="s">
        <v>45</v>
      </c>
      <c r="F114" s="16" t="n">
        <v>295047</v>
      </c>
      <c r="G114" s="16" t="n">
        <v>950612</v>
      </c>
      <c r="H114" s="16" t="n">
        <v>477583</v>
      </c>
      <c r="I114" s="16" t="n">
        <v>473029</v>
      </c>
      <c r="J114" s="16" t="n">
        <v>328555</v>
      </c>
      <c r="K114" s="16" t="n">
        <v>162218</v>
      </c>
      <c r="L114" s="16" t="n">
        <v>166337</v>
      </c>
      <c r="M114" s="3" t="n">
        <v>0.0367088607594937</v>
      </c>
      <c r="N114" s="4" t="n">
        <f aca="false">M114*100000</f>
        <v>3670.88607594937</v>
      </c>
      <c r="O114" s="2" t="n">
        <v>95</v>
      </c>
      <c r="P114" s="2" t="n">
        <v>70</v>
      </c>
      <c r="Q114" s="6" t="n">
        <v>165</v>
      </c>
      <c r="R114" s="6" t="n">
        <v>17.36</v>
      </c>
      <c r="S114" s="17" t="n">
        <v>161</v>
      </c>
      <c r="T114" s="18" t="n">
        <f aca="false">(S114/J114)*100000</f>
        <v>49.0024501225061</v>
      </c>
      <c r="U114" s="19" t="n">
        <v>472</v>
      </c>
      <c r="V114" s="19" t="n">
        <v>81</v>
      </c>
      <c r="W114" s="19" t="n">
        <v>90</v>
      </c>
      <c r="X114" s="19" t="n">
        <v>1749</v>
      </c>
      <c r="Y114" s="19" t="n">
        <v>1973</v>
      </c>
      <c r="Z114" s="20" t="n">
        <f aca="false">(Y114/G114)*100000</f>
        <v>207.550504306699</v>
      </c>
      <c r="AA114" s="2" t="n">
        <v>604</v>
      </c>
      <c r="AB114" s="6" t="n">
        <v>143</v>
      </c>
      <c r="AC114" s="4" t="n">
        <f aca="false">(AB114/G114)*100000</f>
        <v>15.0429407581642</v>
      </c>
      <c r="AD114" s="6" t="n">
        <v>1702</v>
      </c>
      <c r="AE114" s="4" t="n">
        <f aca="false">(AD114/G114)*100000</f>
        <v>179.042553639129</v>
      </c>
      <c r="AF114" s="6" t="n">
        <v>597</v>
      </c>
      <c r="AG114" s="6" t="n">
        <v>169</v>
      </c>
      <c r="AH114" s="6" t="n">
        <v>110</v>
      </c>
      <c r="AI114" s="4" t="n">
        <f aca="false">(AH114/G114)*100000</f>
        <v>11.5714928908955</v>
      </c>
      <c r="AJ114" s="5" t="n">
        <f aca="false">Y114/J114</f>
        <v>0.00600508286283879</v>
      </c>
      <c r="AK114" s="2" t="n">
        <f aca="false">(Q114/Y114)*100000</f>
        <v>8362.89913836797</v>
      </c>
      <c r="AL114" s="2" t="n">
        <v>796</v>
      </c>
      <c r="AM114" s="4" t="n">
        <f aca="false">(AL114/G114)*100000</f>
        <v>83.7355303741169</v>
      </c>
      <c r="AN114" s="4" t="n">
        <f aca="false">1105.08-AM114</f>
        <v>1021.34446962588</v>
      </c>
      <c r="AO114" s="6" t="n">
        <v>0.555</v>
      </c>
      <c r="AP114" s="6" t="n">
        <v>0.39</v>
      </c>
      <c r="AQ114" s="4" t="n">
        <f aca="false">J114/G114</f>
        <v>0.345624713342562</v>
      </c>
    </row>
    <row r="115" s="27" customFormat="true" ht="15" hidden="false" customHeight="false" outlineLevel="0" collapsed="false">
      <c r="A115" s="21" t="n">
        <v>70001</v>
      </c>
      <c r="B115" s="22" t="n">
        <v>70</v>
      </c>
      <c r="C115" s="22" t="s">
        <v>101</v>
      </c>
      <c r="D115" s="21" t="s">
        <v>102</v>
      </c>
      <c r="E115" s="21" t="s">
        <v>46</v>
      </c>
      <c r="F115" s="23" t="n">
        <v>301745</v>
      </c>
      <c r="G115" s="23" t="n">
        <v>966893</v>
      </c>
      <c r="H115" s="23" t="n">
        <v>485373</v>
      </c>
      <c r="I115" s="23" t="n">
        <v>481520</v>
      </c>
      <c r="J115" s="23" t="n">
        <v>337551</v>
      </c>
      <c r="K115" s="23" t="n">
        <v>166320</v>
      </c>
      <c r="L115" s="23" t="n">
        <v>171231</v>
      </c>
      <c r="M115" s="24" t="n">
        <v>0.0413016270337922</v>
      </c>
      <c r="N115" s="25" t="n">
        <f aca="false">M115*100000</f>
        <v>4130.16270337922</v>
      </c>
      <c r="O115" s="26" t="n">
        <v>60</v>
      </c>
      <c r="P115" s="26" t="n">
        <v>61</v>
      </c>
      <c r="Q115" s="27" t="n">
        <v>121</v>
      </c>
      <c r="R115" s="27" t="n">
        <v>12.51</v>
      </c>
      <c r="S115" s="28" t="n">
        <v>121</v>
      </c>
      <c r="T115" s="29" t="n">
        <f aca="false">(S115/J115)*100000</f>
        <v>35.846435057221</v>
      </c>
      <c r="U115" s="30" t="n">
        <v>894</v>
      </c>
      <c r="V115" s="30" t="n">
        <v>80</v>
      </c>
      <c r="W115" s="30" t="n">
        <v>61</v>
      </c>
      <c r="X115" s="30" t="n">
        <v>2282</v>
      </c>
      <c r="Y115" s="30" t="n">
        <v>2494</v>
      </c>
      <c r="Z115" s="31" t="n">
        <f aca="false">(Y115/G115)*100000</f>
        <v>257.93960655419</v>
      </c>
      <c r="AA115" s="26" t="n">
        <v>1047</v>
      </c>
      <c r="AB115" s="27" t="n">
        <v>525</v>
      </c>
      <c r="AC115" s="25" t="n">
        <f aca="false">(AB115/G115)*100000</f>
        <v>54.2976316924417</v>
      </c>
      <c r="AD115" s="27" t="n">
        <v>2232</v>
      </c>
      <c r="AE115" s="25" t="n">
        <f aca="false">(AD115/G115)*100000</f>
        <v>230.842502738152</v>
      </c>
      <c r="AF115" s="27" t="n">
        <v>990</v>
      </c>
      <c r="AG115" s="27" t="n">
        <v>155</v>
      </c>
      <c r="AH115" s="27" t="n">
        <v>110</v>
      </c>
      <c r="AI115" s="25" t="n">
        <f aca="false">(AH115/G115)*100000</f>
        <v>11.3766466403211</v>
      </c>
      <c r="AJ115" s="32" t="n">
        <f aca="false">Y115/J115</f>
        <v>0.0073885131431991</v>
      </c>
      <c r="AK115" s="26" t="n">
        <f aca="false">(Q115/Y115)*100000</f>
        <v>4851.64394546913</v>
      </c>
      <c r="AL115" s="26" t="n">
        <v>1448</v>
      </c>
      <c r="AM115" s="25" t="n">
        <f aca="false">(AL115/G115)*100000</f>
        <v>149.758039410772</v>
      </c>
      <c r="AN115" s="25" t="n">
        <f aca="false">1105.08-AM115</f>
        <v>955.321960589228</v>
      </c>
      <c r="AO115" s="27" t="n">
        <v>0.71</v>
      </c>
      <c r="AP115" s="27" t="n">
        <v>0.257</v>
      </c>
      <c r="AQ115" s="25" t="n">
        <f aca="false">J115/G115</f>
        <v>0.349108950007912</v>
      </c>
    </row>
    <row r="116" customFormat="false" ht="15" hidden="false" customHeight="false" outlineLevel="0" collapsed="false">
      <c r="A116" s="14" t="n">
        <v>70001</v>
      </c>
      <c r="B116" s="15" t="n">
        <v>70</v>
      </c>
      <c r="C116" s="15" t="s">
        <v>101</v>
      </c>
      <c r="D116" s="14" t="s">
        <v>102</v>
      </c>
      <c r="E116" s="14" t="s">
        <v>47</v>
      </c>
      <c r="F116" s="16" t="n">
        <v>306168</v>
      </c>
      <c r="G116" s="16" t="n">
        <v>980942</v>
      </c>
      <c r="H116" s="16" t="n">
        <v>492082</v>
      </c>
      <c r="I116" s="16" t="n">
        <v>488860</v>
      </c>
      <c r="J116" s="16" t="n">
        <v>346203</v>
      </c>
      <c r="K116" s="16" t="n">
        <v>170327</v>
      </c>
      <c r="L116" s="16" t="n">
        <v>175876</v>
      </c>
      <c r="M116" s="3" t="n">
        <v>0.0296296296296296</v>
      </c>
      <c r="N116" s="4" t="n">
        <f aca="false">M116*100000</f>
        <v>2962.96296296296</v>
      </c>
      <c r="O116" s="2" t="n">
        <v>90</v>
      </c>
      <c r="P116" s="2" t="n">
        <v>109</v>
      </c>
      <c r="Q116" s="6" t="n">
        <v>199</v>
      </c>
      <c r="R116" s="6" t="n">
        <v>20.29</v>
      </c>
      <c r="S116" s="17" t="n">
        <v>197</v>
      </c>
      <c r="T116" s="18" t="n">
        <f aca="false">(S116/J116)*100000</f>
        <v>56.9030308807261</v>
      </c>
      <c r="U116" s="19" t="n">
        <v>1214</v>
      </c>
      <c r="V116" s="19" t="n">
        <v>111</v>
      </c>
      <c r="W116" s="19" t="n">
        <v>123</v>
      </c>
      <c r="X116" s="19" t="n">
        <v>2888</v>
      </c>
      <c r="Y116" s="19" t="n">
        <v>3137</v>
      </c>
      <c r="Z116" s="20" t="n">
        <f aca="false">(Y116/G116)*100000</f>
        <v>319.79464637053</v>
      </c>
      <c r="AA116" s="2" t="n">
        <v>1145</v>
      </c>
      <c r="AB116" s="6" t="n">
        <v>629</v>
      </c>
      <c r="AC116" s="4" t="n">
        <f aca="false">(AB116/G116)*100000</f>
        <v>64.1220377963223</v>
      </c>
      <c r="AD116" s="6" t="n">
        <v>2830</v>
      </c>
      <c r="AE116" s="4" t="n">
        <f aca="false">(AD116/G116)*100000</f>
        <v>288.498198670258</v>
      </c>
      <c r="AF116" s="6" t="n">
        <v>1361</v>
      </c>
      <c r="AG116" s="6" t="n">
        <v>287</v>
      </c>
      <c r="AH116" s="6" t="n">
        <v>212</v>
      </c>
      <c r="AI116" s="4" t="n">
        <f aca="false">(AH116/G116)*100000</f>
        <v>21.611879193673</v>
      </c>
      <c r="AJ116" s="5" t="n">
        <f aca="false">Y116/J116</f>
        <v>0.00906115776004252</v>
      </c>
      <c r="AK116" s="2" t="n">
        <f aca="false">(Q116/Y116)*100000</f>
        <v>6343.64042078419</v>
      </c>
      <c r="AL116" s="2" t="n">
        <v>2024</v>
      </c>
      <c r="AM116" s="4" t="n">
        <f aca="false">(AL116/G116)*100000</f>
        <v>206.332280603746</v>
      </c>
      <c r="AN116" s="4" t="n">
        <f aca="false">1105.08-AM116</f>
        <v>898.747719396254</v>
      </c>
      <c r="AO116" s="6" t="n">
        <v>0.708</v>
      </c>
      <c r="AP116" s="6" t="n">
        <v>0.279</v>
      </c>
      <c r="AQ116" s="4" t="n">
        <f aca="false">J116/G116</f>
        <v>0.352929123230527</v>
      </c>
    </row>
    <row r="117" customFormat="false" ht="15" hidden="false" customHeight="false" outlineLevel="0" collapsed="false">
      <c r="A117" s="14" t="n">
        <v>70001</v>
      </c>
      <c r="B117" s="15" t="n">
        <v>70</v>
      </c>
      <c r="C117" s="15" t="s">
        <v>101</v>
      </c>
      <c r="D117" s="14" t="s">
        <v>102</v>
      </c>
      <c r="E117" s="14" t="s">
        <v>48</v>
      </c>
      <c r="F117" s="16" t="n">
        <v>310456</v>
      </c>
      <c r="G117" s="16" t="n">
        <v>994060</v>
      </c>
      <c r="H117" s="16" t="n">
        <v>498455</v>
      </c>
      <c r="I117" s="16" t="n">
        <v>495605</v>
      </c>
      <c r="J117" s="16" t="n">
        <v>355060</v>
      </c>
      <c r="K117" s="16" t="n">
        <v>174554</v>
      </c>
      <c r="L117" s="16" t="n">
        <v>180506</v>
      </c>
      <c r="M117" s="3" t="n">
        <v>0.0342298288508557</v>
      </c>
      <c r="N117" s="4" t="n">
        <f aca="false">M117*100000</f>
        <v>3422.98288508557</v>
      </c>
      <c r="O117" s="2" t="n">
        <v>109</v>
      </c>
      <c r="P117" s="2" t="n">
        <v>95</v>
      </c>
      <c r="Q117" s="6" t="n">
        <v>204</v>
      </c>
      <c r="R117" s="6" t="n">
        <v>20.52</v>
      </c>
      <c r="S117" s="17" t="n">
        <v>203</v>
      </c>
      <c r="T117" s="18" t="n">
        <f aca="false">(S117/J117)*100000</f>
        <v>57.1734354756943</v>
      </c>
      <c r="U117" s="19" t="n">
        <v>1147</v>
      </c>
      <c r="V117" s="19" t="n">
        <v>217</v>
      </c>
      <c r="W117" s="19" t="n">
        <v>168</v>
      </c>
      <c r="X117" s="19" t="n">
        <v>2696</v>
      </c>
      <c r="Y117" s="19" t="n">
        <v>3144</v>
      </c>
      <c r="Z117" s="20" t="n">
        <f aca="false">(Y117/G117)*100000</f>
        <v>316.278695450979</v>
      </c>
      <c r="AA117" s="2" t="n">
        <v>561</v>
      </c>
      <c r="AB117" s="6" t="n">
        <v>430</v>
      </c>
      <c r="AC117" s="4" t="n">
        <f aca="false">(AB117/G117)*100000</f>
        <v>43.2569462607891</v>
      </c>
      <c r="AD117" s="6" t="n">
        <v>2635</v>
      </c>
      <c r="AE117" s="4" t="n">
        <f aca="false">(AD117/G117)*100000</f>
        <v>265.074542784138</v>
      </c>
      <c r="AF117" s="6" t="n">
        <v>1403</v>
      </c>
      <c r="AG117" s="6" t="n">
        <v>286</v>
      </c>
      <c r="AH117" s="6" t="n">
        <v>230</v>
      </c>
      <c r="AI117" s="4" t="n">
        <f aca="false">(AH117/G117)*100000</f>
        <v>23.13743637205</v>
      </c>
      <c r="AJ117" s="5" t="n">
        <f aca="false">Y117/J117</f>
        <v>0.00885484143525038</v>
      </c>
      <c r="AK117" s="2" t="n">
        <f aca="false">(Q117/Y117)*100000</f>
        <v>6488.54961832061</v>
      </c>
      <c r="AL117" s="2" t="n">
        <v>2058</v>
      </c>
      <c r="AM117" s="4" t="n">
        <f aca="false">(AL117/G117)*100000</f>
        <v>207.029756755125</v>
      </c>
      <c r="AN117" s="4" t="n">
        <f aca="false">1105.08-AM117</f>
        <v>898.050243244875</v>
      </c>
      <c r="AO117" s="6" t="n">
        <v>0.719</v>
      </c>
      <c r="AP117" s="6" t="n">
        <v>0.254</v>
      </c>
      <c r="AQ117" s="4" t="n">
        <f aca="false">J117/G117</f>
        <v>0.357181659054785</v>
      </c>
    </row>
    <row r="118" customFormat="false" ht="15" hidden="false" customHeight="false" outlineLevel="0" collapsed="false">
      <c r="A118" s="14" t="n">
        <v>73001</v>
      </c>
      <c r="B118" s="15" t="n">
        <v>73</v>
      </c>
      <c r="C118" s="15" t="s">
        <v>103</v>
      </c>
      <c r="D118" s="14" t="s">
        <v>104</v>
      </c>
      <c r="E118" s="14" t="s">
        <v>45</v>
      </c>
      <c r="F118" s="16" t="n">
        <v>536439</v>
      </c>
      <c r="G118" s="16" t="n">
        <v>1354338</v>
      </c>
      <c r="H118" s="16" t="n">
        <v>670530</v>
      </c>
      <c r="I118" s="16" t="n">
        <v>683808</v>
      </c>
      <c r="J118" s="16" t="n">
        <v>558746</v>
      </c>
      <c r="K118" s="16" t="n">
        <v>266981</v>
      </c>
      <c r="L118" s="16" t="n">
        <v>291765</v>
      </c>
      <c r="M118" s="3" t="n">
        <v>0.0587726879861711</v>
      </c>
      <c r="N118" s="4" t="n">
        <f aca="false">M118*100000</f>
        <v>5877.26879861711</v>
      </c>
      <c r="O118" s="2" t="n">
        <v>274</v>
      </c>
      <c r="P118" s="2" t="n">
        <v>209</v>
      </c>
      <c r="Q118" s="6" t="n">
        <v>483</v>
      </c>
      <c r="R118" s="6" t="n">
        <v>35.66</v>
      </c>
      <c r="S118" s="17" t="n">
        <v>480</v>
      </c>
      <c r="T118" s="18" t="n">
        <f aca="false">(S118/J118)*100000</f>
        <v>85.9066552601719</v>
      </c>
      <c r="U118" s="19" t="n">
        <v>1553</v>
      </c>
      <c r="V118" s="19" t="n">
        <v>161</v>
      </c>
      <c r="W118" s="19" t="n">
        <v>190</v>
      </c>
      <c r="X118" s="19" t="n">
        <v>7603</v>
      </c>
      <c r="Y118" s="19" t="n">
        <v>7878</v>
      </c>
      <c r="Z118" s="20" t="n">
        <f aca="false">(Y118/G118)*100000</f>
        <v>581.686403246457</v>
      </c>
      <c r="AA118" s="2" t="n">
        <v>3847</v>
      </c>
      <c r="AB118" s="6" t="n">
        <v>671</v>
      </c>
      <c r="AC118" s="4" t="n">
        <f aca="false">(AB118/G118)*100000</f>
        <v>49.544500708095</v>
      </c>
      <c r="AD118" s="6" t="n">
        <v>7381</v>
      </c>
      <c r="AE118" s="4" t="n">
        <f aca="false">(AD118/G118)*100000</f>
        <v>544.989507789045</v>
      </c>
      <c r="AF118" s="6" t="n">
        <v>1828</v>
      </c>
      <c r="AG118" s="6" t="n">
        <v>691</v>
      </c>
      <c r="AH118" s="6" t="n">
        <v>557</v>
      </c>
      <c r="AI118" s="4" t="n">
        <f aca="false">(AH118/G118)*100000</f>
        <v>41.1271041645439</v>
      </c>
      <c r="AJ118" s="5" t="n">
        <f aca="false">Y118/J118</f>
        <v>0.0140994297945757</v>
      </c>
      <c r="AK118" s="2" t="n">
        <f aca="false">(Q118/Y118)*100000</f>
        <v>6130.99771515613</v>
      </c>
      <c r="AL118" s="2" t="n">
        <v>3365</v>
      </c>
      <c r="AM118" s="4" t="n">
        <f aca="false">(AL118/G118)*100000</f>
        <v>248.460871658331</v>
      </c>
      <c r="AN118" s="4" t="n">
        <f aca="false">1105.08-AM118</f>
        <v>856.61912834167</v>
      </c>
      <c r="AO118" s="6" t="n">
        <v>0.392</v>
      </c>
      <c r="AP118" s="6" t="n">
        <v>0.659</v>
      </c>
      <c r="AQ118" s="4" t="n">
        <f aca="false">J118/G118</f>
        <v>0.412560232379214</v>
      </c>
    </row>
    <row r="119" customFormat="false" ht="15" hidden="false" customHeight="false" outlineLevel="0" collapsed="false">
      <c r="A119" s="14" t="n">
        <v>73001</v>
      </c>
      <c r="B119" s="15" t="n">
        <v>73</v>
      </c>
      <c r="C119" s="15" t="s">
        <v>103</v>
      </c>
      <c r="D119" s="14" t="s">
        <v>104</v>
      </c>
      <c r="E119" s="14" t="s">
        <v>46</v>
      </c>
      <c r="F119" s="16" t="n">
        <v>537856</v>
      </c>
      <c r="G119" s="16" t="n">
        <v>1361931</v>
      </c>
      <c r="H119" s="16" t="n">
        <v>673551</v>
      </c>
      <c r="I119" s="16" t="n">
        <v>688380</v>
      </c>
      <c r="J119" s="16" t="n">
        <v>566786</v>
      </c>
      <c r="K119" s="16" t="n">
        <v>270126</v>
      </c>
      <c r="L119" s="16" t="n">
        <v>296660</v>
      </c>
      <c r="M119" s="3" t="n">
        <v>0.0611541774332472</v>
      </c>
      <c r="N119" s="4" t="n">
        <f aca="false">M119*100000</f>
        <v>6115.41774332472</v>
      </c>
      <c r="O119" s="2" t="n">
        <v>245</v>
      </c>
      <c r="P119" s="2" t="n">
        <v>188</v>
      </c>
      <c r="Q119" s="6" t="n">
        <v>433</v>
      </c>
      <c r="R119" s="6" t="n">
        <v>31.79</v>
      </c>
      <c r="S119" s="17" t="n">
        <v>432</v>
      </c>
      <c r="T119" s="18" t="n">
        <f aca="false">(S119/J119)*100000</f>
        <v>76.2192432417173</v>
      </c>
      <c r="U119" s="19" t="n">
        <v>1055</v>
      </c>
      <c r="V119" s="19" t="n">
        <v>131</v>
      </c>
      <c r="W119" s="19" t="n">
        <v>153</v>
      </c>
      <c r="X119" s="19" t="n">
        <v>6639</v>
      </c>
      <c r="Y119" s="19" t="n">
        <v>6968</v>
      </c>
      <c r="Z119" s="20" t="n">
        <f aca="false">(Y119/G119)*100000</f>
        <v>511.626506776041</v>
      </c>
      <c r="AA119" s="2" t="n">
        <v>3636</v>
      </c>
      <c r="AB119" s="6" t="n">
        <v>273</v>
      </c>
      <c r="AC119" s="4" t="n">
        <f aca="false">(AB119/G119)*100000</f>
        <v>20.0450683624941</v>
      </c>
      <c r="AD119" s="6" t="n">
        <v>6501</v>
      </c>
      <c r="AE119" s="4" t="n">
        <f aca="false">(AD119/G119)*100000</f>
        <v>477.336957599174</v>
      </c>
      <c r="AF119" s="6" t="n">
        <v>1287</v>
      </c>
      <c r="AG119" s="6" t="n">
        <v>381</v>
      </c>
      <c r="AH119" s="6" t="n">
        <v>369</v>
      </c>
      <c r="AI119" s="4" t="n">
        <f aca="false">(AH119/G119)*100000</f>
        <v>27.0938836108437</v>
      </c>
      <c r="AJ119" s="5" t="n">
        <f aca="false">Y119/J119</f>
        <v>0.0122938816413955</v>
      </c>
      <c r="AK119" s="2" t="n">
        <f aca="false">(Q119/Y119)*100000</f>
        <v>6214.12169919633</v>
      </c>
      <c r="AL119" s="2" t="n">
        <v>3369</v>
      </c>
      <c r="AM119" s="4" t="n">
        <f aca="false">(AL119/G119)*100000</f>
        <v>247.369360121768</v>
      </c>
      <c r="AN119" s="4" t="n">
        <f aca="false">1105.08-AM119</f>
        <v>857.710639878232</v>
      </c>
      <c r="AO119" s="6" t="n">
        <v>0.908</v>
      </c>
      <c r="AP119" s="6" t="n">
        <v>0.573</v>
      </c>
      <c r="AQ119" s="4" t="n">
        <f aca="false">J119/G119</f>
        <v>0.416163520765736</v>
      </c>
    </row>
    <row r="120" customFormat="false" ht="15" hidden="false" customHeight="false" outlineLevel="0" collapsed="false">
      <c r="A120" s="14" t="n">
        <v>73001</v>
      </c>
      <c r="B120" s="15" t="n">
        <v>73</v>
      </c>
      <c r="C120" s="15" t="s">
        <v>103</v>
      </c>
      <c r="D120" s="14" t="s">
        <v>104</v>
      </c>
      <c r="E120" s="14" t="s">
        <v>47</v>
      </c>
      <c r="F120" s="16" t="n">
        <v>539745</v>
      </c>
      <c r="G120" s="16" t="n">
        <v>1367802</v>
      </c>
      <c r="H120" s="16" t="n">
        <v>675842</v>
      </c>
      <c r="I120" s="16" t="n">
        <v>691960</v>
      </c>
      <c r="J120" s="16" t="n">
        <v>574807</v>
      </c>
      <c r="K120" s="16" t="n">
        <v>273413</v>
      </c>
      <c r="L120" s="16" t="n">
        <v>301394</v>
      </c>
      <c r="M120" s="3" t="n">
        <v>0.0438144329896907</v>
      </c>
      <c r="N120" s="4" t="n">
        <f aca="false">M120*100000</f>
        <v>4381.44329896907</v>
      </c>
      <c r="O120" s="2" t="n">
        <v>343</v>
      </c>
      <c r="P120" s="2" t="n">
        <v>282</v>
      </c>
      <c r="Q120" s="6" t="n">
        <v>625</v>
      </c>
      <c r="R120" s="6" t="n">
        <v>45.69</v>
      </c>
      <c r="S120" s="17" t="n">
        <v>622</v>
      </c>
      <c r="T120" s="18" t="n">
        <f aca="false">(S120/J120)*100000</f>
        <v>108.210234043775</v>
      </c>
      <c r="U120" s="19" t="n">
        <v>1184</v>
      </c>
      <c r="V120" s="19" t="n">
        <v>217</v>
      </c>
      <c r="W120" s="19" t="n">
        <v>197</v>
      </c>
      <c r="X120" s="19" t="n">
        <v>7090</v>
      </c>
      <c r="Y120" s="19" t="n">
        <v>7413</v>
      </c>
      <c r="Z120" s="20" t="n">
        <f aca="false">(Y120/G120)*100000</f>
        <v>541.964407129102</v>
      </c>
      <c r="AA120" s="2" t="n">
        <v>3927</v>
      </c>
      <c r="AB120" s="6" t="n">
        <v>363</v>
      </c>
      <c r="AC120" s="4" t="n">
        <f aca="false">(AB120/G120)*100000</f>
        <v>26.5389288800572</v>
      </c>
      <c r="AD120" s="6" t="n">
        <v>6906</v>
      </c>
      <c r="AE120" s="4" t="n">
        <f aca="false">(AD120/G120)*100000</f>
        <v>504.89763869332</v>
      </c>
      <c r="AF120" s="6" t="n">
        <v>1516</v>
      </c>
      <c r="AG120" s="6" t="n">
        <v>525</v>
      </c>
      <c r="AH120" s="6" t="n">
        <v>680</v>
      </c>
      <c r="AI120" s="4" t="n">
        <f aca="false">(AH120/G120)*100000</f>
        <v>49.7147979020355</v>
      </c>
      <c r="AJ120" s="5" t="n">
        <f aca="false">Y120/J120</f>
        <v>0.0128965026521946</v>
      </c>
      <c r="AK120" s="2" t="n">
        <f aca="false">(Q120/Y120)*100000</f>
        <v>8431.13449345744</v>
      </c>
      <c r="AL120" s="2" t="n">
        <v>2837</v>
      </c>
      <c r="AM120" s="4" t="n">
        <f aca="false">(AL120/G120)*100000</f>
        <v>207.413061247169</v>
      </c>
      <c r="AN120" s="4" t="n">
        <f aca="false">1105.08-AM120</f>
        <v>897.666938752831</v>
      </c>
      <c r="AO120" s="6" t="n">
        <v>0.914</v>
      </c>
      <c r="AP120" s="6" t="n">
        <v>0.465</v>
      </c>
      <c r="AQ120" s="4" t="n">
        <f aca="false">J120/G120</f>
        <v>0.420241379965814</v>
      </c>
    </row>
    <row r="121" customFormat="false" ht="15" hidden="false" customHeight="false" outlineLevel="0" collapsed="false">
      <c r="A121" s="14" t="n">
        <v>73001</v>
      </c>
      <c r="B121" s="15" t="n">
        <v>73</v>
      </c>
      <c r="C121" s="15" t="s">
        <v>103</v>
      </c>
      <c r="D121" s="14" t="s">
        <v>104</v>
      </c>
      <c r="E121" s="14" t="s">
        <v>48</v>
      </c>
      <c r="F121" s="16" t="n">
        <v>542046</v>
      </c>
      <c r="G121" s="16" t="n">
        <v>1374384</v>
      </c>
      <c r="H121" s="16" t="n">
        <v>678763</v>
      </c>
      <c r="I121" s="16" t="n">
        <v>695621</v>
      </c>
      <c r="J121" s="16" t="n">
        <v>583945</v>
      </c>
      <c r="K121" s="16" t="n">
        <v>277482</v>
      </c>
      <c r="L121" s="16" t="n">
        <v>306463</v>
      </c>
      <c r="M121" s="3" t="n">
        <v>0.0674061433447099</v>
      </c>
      <c r="N121" s="4" t="n">
        <f aca="false">M121*100000</f>
        <v>6740.61433447099</v>
      </c>
      <c r="O121" s="2" t="n">
        <v>324</v>
      </c>
      <c r="P121" s="2" t="n">
        <v>282</v>
      </c>
      <c r="Q121" s="6" t="n">
        <v>606</v>
      </c>
      <c r="R121" s="6" t="n">
        <v>44.09</v>
      </c>
      <c r="S121" s="17" t="n">
        <v>605</v>
      </c>
      <c r="T121" s="18" t="n">
        <f aca="false">(S121/J121)*100000</f>
        <v>103.605647792172</v>
      </c>
      <c r="U121" s="19" t="n">
        <v>1062</v>
      </c>
      <c r="V121" s="19" t="n">
        <v>142</v>
      </c>
      <c r="W121" s="19" t="n">
        <v>181</v>
      </c>
      <c r="X121" s="19" t="n">
        <v>6807</v>
      </c>
      <c r="Y121" s="19" t="n">
        <v>7038</v>
      </c>
      <c r="Z121" s="20" t="n">
        <f aca="false">(Y121/G121)*100000</f>
        <v>512.083959068208</v>
      </c>
      <c r="AA121" s="2" t="n">
        <v>3959</v>
      </c>
      <c r="AB121" s="6" t="n">
        <v>395</v>
      </c>
      <c r="AC121" s="4" t="n">
        <f aca="false">(AB121/G121)*100000</f>
        <v>28.7401483137173</v>
      </c>
      <c r="AD121" s="6" t="n">
        <v>6661</v>
      </c>
      <c r="AE121" s="4" t="n">
        <f aca="false">(AD121/G121)*100000</f>
        <v>484.653488399167</v>
      </c>
      <c r="AF121" s="6" t="n">
        <v>1329</v>
      </c>
      <c r="AG121" s="6" t="n">
        <v>461</v>
      </c>
      <c r="AH121" s="6" t="n">
        <v>573</v>
      </c>
      <c r="AI121" s="4" t="n">
        <f aca="false">(AH121/G121)*100000</f>
        <v>41.6914050221772</v>
      </c>
      <c r="AJ121" s="5" t="n">
        <f aca="false">Y121/J121</f>
        <v>0.012052504944815</v>
      </c>
      <c r="AK121" s="2" t="n">
        <f aca="false">(Q121/Y121)*100000</f>
        <v>8610.40068201194</v>
      </c>
      <c r="AL121" s="2" t="n">
        <v>3299</v>
      </c>
      <c r="AM121" s="4" t="n">
        <f aca="false">(AL121/G121)*100000</f>
        <v>240.034808321401</v>
      </c>
      <c r="AN121" s="4" t="n">
        <f aca="false">1105.08-AM121</f>
        <v>865.045191678599</v>
      </c>
      <c r="AO121" s="6" t="n">
        <v>0.951</v>
      </c>
      <c r="AP121" s="6" t="n">
        <v>0.521</v>
      </c>
      <c r="AQ121" s="4" t="n">
        <f aca="false">J121/G121</f>
        <v>0.424877617900092</v>
      </c>
    </row>
    <row r="122" customFormat="false" ht="15" hidden="false" customHeight="false" outlineLevel="0" collapsed="false">
      <c r="A122" s="14" t="n">
        <v>76001</v>
      </c>
      <c r="B122" s="15" t="n">
        <v>76</v>
      </c>
      <c r="C122" s="15" t="s">
        <v>105</v>
      </c>
      <c r="D122" s="14" t="s">
        <v>106</v>
      </c>
      <c r="E122" s="14" t="s">
        <v>45</v>
      </c>
      <c r="F122" s="16" t="n">
        <v>2264427</v>
      </c>
      <c r="G122" s="16" t="n">
        <v>4582377</v>
      </c>
      <c r="H122" s="16" t="n">
        <v>2177920</v>
      </c>
      <c r="I122" s="16" t="n">
        <v>2404457</v>
      </c>
      <c r="J122" s="16" t="n">
        <v>1800105</v>
      </c>
      <c r="K122" s="16" t="n">
        <v>801034</v>
      </c>
      <c r="L122" s="16" t="n">
        <v>999071</v>
      </c>
      <c r="M122" s="3" t="n">
        <v>0.0528497409326425</v>
      </c>
      <c r="N122" s="4" t="n">
        <f aca="false">M122*100000</f>
        <v>5284.97409326425</v>
      </c>
      <c r="O122" s="2" t="n">
        <v>702</v>
      </c>
      <c r="P122" s="2" t="n">
        <v>629</v>
      </c>
      <c r="Q122" s="6" t="n">
        <v>1331</v>
      </c>
      <c r="R122" s="6" t="n">
        <v>29.05</v>
      </c>
      <c r="S122" s="17" t="n">
        <v>1307</v>
      </c>
      <c r="T122" s="18" t="n">
        <f aca="false">(S122/J122)*100000</f>
        <v>72.606875710028</v>
      </c>
      <c r="U122" s="19" t="n">
        <v>7182</v>
      </c>
      <c r="V122" s="19" t="n">
        <v>1883</v>
      </c>
      <c r="W122" s="19" t="n">
        <v>1660</v>
      </c>
      <c r="X122" s="19" t="n">
        <v>19876</v>
      </c>
      <c r="Y122" s="19" t="n">
        <v>24636</v>
      </c>
      <c r="Z122" s="20" t="n">
        <f aca="false">(Y122/G122)*100000</f>
        <v>537.624905152937</v>
      </c>
      <c r="AA122" s="2" t="n">
        <v>10350</v>
      </c>
      <c r="AB122" s="6" t="n">
        <v>1606</v>
      </c>
      <c r="AC122" s="4" t="n">
        <f aca="false">(AB122/G122)*100000</f>
        <v>35.0473127811177</v>
      </c>
      <c r="AD122" s="6" t="n">
        <v>19535</v>
      </c>
      <c r="AE122" s="4" t="n">
        <f aca="false">(AD122/G122)*100000</f>
        <v>426.307132739188</v>
      </c>
      <c r="AF122" s="6" t="n">
        <v>10066</v>
      </c>
      <c r="AG122" s="6" t="n">
        <v>1366</v>
      </c>
      <c r="AH122" s="6" t="n">
        <v>1479</v>
      </c>
      <c r="AI122" s="4" t="n">
        <f aca="false">(AH122/G122)*100000</f>
        <v>32.2758254067703</v>
      </c>
      <c r="AJ122" s="5" t="n">
        <f aca="false">Y122/J122</f>
        <v>0.0136858683243477</v>
      </c>
      <c r="AK122" s="2" t="n">
        <f aca="false">(Q122/Y122)*100000</f>
        <v>5402.66276993018</v>
      </c>
      <c r="AL122" s="2" t="n">
        <v>10795</v>
      </c>
      <c r="AM122" s="4" t="n">
        <f aca="false">(AL122/G122)*100000</f>
        <v>235.576426819531</v>
      </c>
      <c r="AN122" s="4" t="n">
        <f aca="false">1105.08-AM122</f>
        <v>869.503573180469</v>
      </c>
      <c r="AO122" s="6" t="n">
        <v>0.76</v>
      </c>
      <c r="AP122" s="6" t="n">
        <v>0.346</v>
      </c>
      <c r="AQ122" s="4" t="n">
        <f aca="false">J122/G122</f>
        <v>0.392832148031469</v>
      </c>
    </row>
    <row r="123" customFormat="false" ht="15" hidden="false" customHeight="false" outlineLevel="0" collapsed="false">
      <c r="A123" s="14" t="n">
        <v>76001</v>
      </c>
      <c r="B123" s="15" t="n">
        <v>76</v>
      </c>
      <c r="C123" s="15" t="s">
        <v>105</v>
      </c>
      <c r="D123" s="14" t="s">
        <v>106</v>
      </c>
      <c r="E123" s="14" t="s">
        <v>46</v>
      </c>
      <c r="F123" s="16" t="n">
        <v>2271293</v>
      </c>
      <c r="G123" s="16" t="n">
        <v>4613764</v>
      </c>
      <c r="H123" s="16" t="n">
        <v>2191808</v>
      </c>
      <c r="I123" s="16" t="n">
        <v>2421956</v>
      </c>
      <c r="J123" s="16" t="n">
        <v>1827583</v>
      </c>
      <c r="K123" s="16" t="n">
        <v>811399</v>
      </c>
      <c r="L123" s="16" t="n">
        <v>1016184</v>
      </c>
      <c r="M123" s="3" t="n">
        <v>0.0471794871794872</v>
      </c>
      <c r="N123" s="4" t="n">
        <f aca="false">M123*100000</f>
        <v>4717.94871794872</v>
      </c>
      <c r="O123" s="2" t="n">
        <v>645</v>
      </c>
      <c r="P123" s="2" t="n">
        <v>510</v>
      </c>
      <c r="Q123" s="6" t="n">
        <v>1155</v>
      </c>
      <c r="R123" s="6" t="n">
        <v>25.03</v>
      </c>
      <c r="S123" s="17" t="n">
        <v>1139</v>
      </c>
      <c r="T123" s="18" t="n">
        <f aca="false">(S123/J123)*100000</f>
        <v>62.3227508682232</v>
      </c>
      <c r="U123" s="19" t="n">
        <v>7516</v>
      </c>
      <c r="V123" s="19" t="n">
        <v>1016</v>
      </c>
      <c r="W123" s="19" t="n">
        <v>813</v>
      </c>
      <c r="X123" s="19" t="n">
        <v>19823</v>
      </c>
      <c r="Y123" s="19" t="n">
        <v>24209</v>
      </c>
      <c r="Z123" s="20" t="n">
        <f aca="false">(Y123/G123)*100000</f>
        <v>524.712577409681</v>
      </c>
      <c r="AA123" s="2" t="n">
        <v>10545</v>
      </c>
      <c r="AB123" s="6" t="n">
        <v>1664</v>
      </c>
      <c r="AC123" s="4" t="n">
        <f aca="false">(AB123/G123)*100000</f>
        <v>36.0659973071878</v>
      </c>
      <c r="AD123" s="6" t="n">
        <v>19551</v>
      </c>
      <c r="AE123" s="4" t="n">
        <f aca="false">(AD123/G123)*100000</f>
        <v>423.753794082229</v>
      </c>
      <c r="AF123" s="6" t="n">
        <v>9011</v>
      </c>
      <c r="AG123" s="6" t="n">
        <v>1056</v>
      </c>
      <c r="AH123" s="6" t="n">
        <v>929</v>
      </c>
      <c r="AI123" s="4" t="n">
        <f aca="false">(AH123/G123)*100000</f>
        <v>20.135403544698</v>
      </c>
      <c r="AJ123" s="5" t="n">
        <f aca="false">Y123/J123</f>
        <v>0.0132464572060476</v>
      </c>
      <c r="AK123" s="2" t="n">
        <f aca="false">(Q123/Y123)*100000</f>
        <v>4770.95295138172</v>
      </c>
      <c r="AL123" s="2" t="n">
        <v>11032</v>
      </c>
      <c r="AM123" s="4" t="n">
        <f aca="false">(AL123/G123)*100000</f>
        <v>239.110626377942</v>
      </c>
      <c r="AN123" s="4" t="n">
        <f aca="false">1105.08-AM123</f>
        <v>865.969373622058</v>
      </c>
      <c r="AO123" s="6" t="n">
        <v>0.956</v>
      </c>
      <c r="AP123" s="6" t="n">
        <v>0.31</v>
      </c>
      <c r="AQ123" s="4" t="n">
        <f aca="false">J123/G123</f>
        <v>0.396115405989556</v>
      </c>
    </row>
    <row r="124" customFormat="false" ht="15" hidden="false" customHeight="false" outlineLevel="0" collapsed="false">
      <c r="A124" s="14" t="n">
        <v>76001</v>
      </c>
      <c r="B124" s="15" t="n">
        <v>76</v>
      </c>
      <c r="C124" s="15" t="s">
        <v>105</v>
      </c>
      <c r="D124" s="14" t="s">
        <v>106</v>
      </c>
      <c r="E124" s="14" t="s">
        <v>47</v>
      </c>
      <c r="F124" s="16" t="n">
        <v>2276124</v>
      </c>
      <c r="G124" s="16" t="n">
        <v>4626064</v>
      </c>
      <c r="H124" s="16" t="n">
        <v>2196621</v>
      </c>
      <c r="I124" s="16" t="n">
        <v>2429443</v>
      </c>
      <c r="J124" s="16" t="n">
        <v>1848092</v>
      </c>
      <c r="K124" s="16" t="n">
        <v>818771</v>
      </c>
      <c r="L124" s="16" t="n">
        <v>1029321</v>
      </c>
      <c r="M124" s="3" t="n">
        <v>0.0584349593495935</v>
      </c>
      <c r="N124" s="4" t="n">
        <f aca="false">M124*100000</f>
        <v>5843.49593495935</v>
      </c>
      <c r="O124" s="2" t="n">
        <v>756</v>
      </c>
      <c r="P124" s="2" t="n">
        <v>716</v>
      </c>
      <c r="Q124" s="6" t="n">
        <v>1472</v>
      </c>
      <c r="R124" s="6" t="n">
        <v>31.82</v>
      </c>
      <c r="S124" s="17" t="n">
        <v>1458</v>
      </c>
      <c r="T124" s="18" t="n">
        <f aca="false">(S124/J124)*100000</f>
        <v>78.8921763635144</v>
      </c>
      <c r="U124" s="19" t="n">
        <v>5233</v>
      </c>
      <c r="V124" s="19" t="n">
        <v>874</v>
      </c>
      <c r="W124" s="19" t="n">
        <v>554</v>
      </c>
      <c r="X124" s="19" t="n">
        <v>17196</v>
      </c>
      <c r="Y124" s="19" t="n">
        <v>19400</v>
      </c>
      <c r="Z124" s="20" t="n">
        <f aca="false">(Y124/G124)*100000</f>
        <v>419.36298330503</v>
      </c>
      <c r="AA124" s="2" t="n">
        <v>9308</v>
      </c>
      <c r="AB124" s="6" t="n">
        <v>2320</v>
      </c>
      <c r="AC124" s="4" t="n">
        <f aca="false">(AB124/G124)*100000</f>
        <v>50.1506248076118</v>
      </c>
      <c r="AD124" s="6" t="n">
        <v>17023</v>
      </c>
      <c r="AE124" s="4" t="n">
        <f aca="false">(AD124/G124)*100000</f>
        <v>367.980209525852</v>
      </c>
      <c r="AF124" s="6" t="n">
        <v>6347</v>
      </c>
      <c r="AG124" s="6" t="n">
        <v>1024</v>
      </c>
      <c r="AH124" s="6" t="n">
        <v>1243</v>
      </c>
      <c r="AI124" s="4" t="n">
        <f aca="false">(AH124/G124)*100000</f>
        <v>26.8694942395955</v>
      </c>
      <c r="AJ124" s="5" t="n">
        <f aca="false">Y124/J124</f>
        <v>0.0104973129043359</v>
      </c>
      <c r="AK124" s="2" t="n">
        <f aca="false">(Q124/Y124)*100000</f>
        <v>7587.62886597938</v>
      </c>
      <c r="AL124" s="2" t="n">
        <v>17303</v>
      </c>
      <c r="AM124" s="4" t="n">
        <f aca="false">(AL124/G124)*100000</f>
        <v>374.032871140564</v>
      </c>
      <c r="AN124" s="4" t="n">
        <f aca="false">1105.08-AM124</f>
        <v>731.047128859436</v>
      </c>
      <c r="AO124" s="6" t="n">
        <v>0.947</v>
      </c>
      <c r="AP124" s="6" t="n">
        <v>0.269</v>
      </c>
      <c r="AQ124" s="4" t="n">
        <f aca="false">J124/G124</f>
        <v>0.399495553887711</v>
      </c>
    </row>
    <row r="125" customFormat="false" ht="15" hidden="false" customHeight="false" outlineLevel="0" collapsed="false">
      <c r="A125" s="14" t="n">
        <v>76001</v>
      </c>
      <c r="B125" s="15" t="n">
        <v>76</v>
      </c>
      <c r="C125" s="15" t="s">
        <v>105</v>
      </c>
      <c r="D125" s="14" t="s">
        <v>106</v>
      </c>
      <c r="E125" s="14" t="s">
        <v>48</v>
      </c>
      <c r="F125" s="16" t="n">
        <v>2280522</v>
      </c>
      <c r="G125" s="16" t="n">
        <v>4638029</v>
      </c>
      <c r="H125" s="16" t="n">
        <v>2201719</v>
      </c>
      <c r="I125" s="16" t="n">
        <v>2436310</v>
      </c>
      <c r="J125" s="16" t="n">
        <v>1870761</v>
      </c>
      <c r="K125" s="16" t="n">
        <v>827566</v>
      </c>
      <c r="L125" s="16" t="n">
        <v>1043195</v>
      </c>
      <c r="M125" s="3" t="n">
        <v>0.0522875816993464</v>
      </c>
      <c r="N125" s="4" t="n">
        <f aca="false">M125*100000</f>
        <v>5228.75816993464</v>
      </c>
      <c r="O125" s="2" t="n">
        <v>752</v>
      </c>
      <c r="P125" s="2" t="n">
        <v>647</v>
      </c>
      <c r="Q125" s="6" t="n">
        <v>1399</v>
      </c>
      <c r="R125" s="6" t="n">
        <v>30.16</v>
      </c>
      <c r="S125" s="17" t="n">
        <v>1377</v>
      </c>
      <c r="T125" s="18" t="n">
        <f aca="false">(S125/J125)*100000</f>
        <v>73.6064093703044</v>
      </c>
      <c r="U125" s="19" t="n">
        <v>7037</v>
      </c>
      <c r="V125" s="19" t="n">
        <v>711</v>
      </c>
      <c r="W125" s="19" t="n">
        <v>534</v>
      </c>
      <c r="X125" s="19" t="n">
        <v>17759</v>
      </c>
      <c r="Y125" s="19" t="n">
        <v>20612</v>
      </c>
      <c r="Z125" s="20" t="n">
        <f aca="false">(Y125/G125)*100000</f>
        <v>444.412917642387</v>
      </c>
      <c r="AA125" s="2" t="n">
        <v>9574</v>
      </c>
      <c r="AB125" s="6" t="n">
        <v>2933</v>
      </c>
      <c r="AC125" s="4" t="n">
        <f aca="false">(AB125/G125)*100000</f>
        <v>63.2380694471725</v>
      </c>
      <c r="AD125" s="6" t="n">
        <v>17577</v>
      </c>
      <c r="AE125" s="4" t="n">
        <f aca="false">(AD125/G125)*100000</f>
        <v>378.97563814284</v>
      </c>
      <c r="AF125" s="6" t="n">
        <v>7867</v>
      </c>
      <c r="AG125" s="6" t="n">
        <v>1055</v>
      </c>
      <c r="AH125" s="6" t="n">
        <v>1191</v>
      </c>
      <c r="AI125" s="4" t="n">
        <f aca="false">(AH125/G125)*100000</f>
        <v>25.679011493891</v>
      </c>
      <c r="AJ125" s="5" t="n">
        <f aca="false">Y125/J125</f>
        <v>0.0110179761070495</v>
      </c>
      <c r="AK125" s="2" t="n">
        <f aca="false">(Q125/Y125)*100000</f>
        <v>6787.30836405977</v>
      </c>
      <c r="AL125" s="2" t="n">
        <v>14888</v>
      </c>
      <c r="AM125" s="4" t="n">
        <f aca="false">(AL125/G125)*100000</f>
        <v>320.998424115071</v>
      </c>
      <c r="AN125" s="4" t="n">
        <f aca="false">1105.08-AM125</f>
        <v>784.081575884929</v>
      </c>
      <c r="AO125" s="6" t="n">
        <v>0.973</v>
      </c>
      <c r="AP125" s="6" t="n">
        <v>0.306</v>
      </c>
      <c r="AQ125" s="4" t="n">
        <f aca="false">J125/G125</f>
        <v>0.403352587920429</v>
      </c>
    </row>
    <row r="126" customFormat="false" ht="15" hidden="false" customHeight="false" outlineLevel="0" collapsed="false">
      <c r="A126" s="14" t="n">
        <v>97001</v>
      </c>
      <c r="B126" s="15" t="n">
        <v>97</v>
      </c>
      <c r="C126" s="15" t="s">
        <v>107</v>
      </c>
      <c r="D126" s="14" t="s">
        <v>108</v>
      </c>
      <c r="E126" s="14" t="s">
        <v>45</v>
      </c>
      <c r="F126" s="16" t="n">
        <v>31485</v>
      </c>
      <c r="G126" s="16" t="n">
        <v>43188</v>
      </c>
      <c r="H126" s="16" t="n">
        <v>22624</v>
      </c>
      <c r="I126" s="16" t="n">
        <v>20564</v>
      </c>
      <c r="J126" s="16" t="n">
        <v>7771</v>
      </c>
      <c r="K126" s="16" t="n">
        <v>4107</v>
      </c>
      <c r="L126" s="16" t="n">
        <v>3664</v>
      </c>
      <c r="M126" s="3" t="n">
        <v>0.1875</v>
      </c>
      <c r="N126" s="4" t="n">
        <f aca="false">M126*100000</f>
        <v>18750</v>
      </c>
      <c r="O126" s="2" t="n">
        <v>2</v>
      </c>
      <c r="P126" s="2" t="n">
        <v>0</v>
      </c>
      <c r="Q126" s="6" t="n">
        <v>2</v>
      </c>
      <c r="R126" s="6" t="n">
        <v>4.63</v>
      </c>
      <c r="S126" s="17" t="n">
        <v>2</v>
      </c>
      <c r="T126" s="18" t="n">
        <f aca="false">(S126/J126)*100000</f>
        <v>25.7367134216961</v>
      </c>
      <c r="U126" s="19" t="n">
        <v>4</v>
      </c>
      <c r="V126" s="19" t="n">
        <v>3</v>
      </c>
      <c r="W126" s="19" t="n">
        <v>6</v>
      </c>
      <c r="X126" s="19" t="n">
        <v>27</v>
      </c>
      <c r="Y126" s="19" t="n">
        <v>29</v>
      </c>
      <c r="Z126" s="20" t="n">
        <f aca="false">(Y126/G126)*100000</f>
        <v>67.1482819301658</v>
      </c>
      <c r="AA126" s="2" t="n">
        <v>25</v>
      </c>
      <c r="AB126" s="6" t="n">
        <v>0</v>
      </c>
      <c r="AC126" s="4" t="n">
        <f aca="false">(AB126/G126)*100000</f>
        <v>0</v>
      </c>
      <c r="AD126" s="6" t="n">
        <v>27</v>
      </c>
      <c r="AE126" s="4" t="n">
        <f aca="false">(AD126/G126)*100000</f>
        <v>62.5173659349819</v>
      </c>
      <c r="AF126" s="6" t="n">
        <v>11</v>
      </c>
      <c r="AG126" s="6" t="n">
        <v>3</v>
      </c>
      <c r="AH126" s="6" t="n">
        <v>2</v>
      </c>
      <c r="AI126" s="4" t="n">
        <f aca="false">(AH126/G126)*100000</f>
        <v>4.63091599518385</v>
      </c>
      <c r="AJ126" s="5" t="n">
        <f aca="false">Y126/J126</f>
        <v>0.00373182344614593</v>
      </c>
      <c r="AK126" s="2" t="n">
        <f aca="false">(Q126/Y126)*100000</f>
        <v>6896.55172413793</v>
      </c>
      <c r="AL126" s="2" t="n">
        <v>0</v>
      </c>
      <c r="AM126" s="4" t="n">
        <f aca="false">(AL126/G126)*100000</f>
        <v>0</v>
      </c>
      <c r="AN126" s="4" t="n">
        <f aca="false">1105.08-AM126</f>
        <v>1105.08</v>
      </c>
      <c r="AO126" s="6" t="n">
        <v>0.264</v>
      </c>
      <c r="AP126" s="6" t="n">
        <v>0.656</v>
      </c>
      <c r="AQ126" s="4" t="n">
        <f aca="false">J126/G126</f>
        <v>0.179934240992868</v>
      </c>
    </row>
    <row r="127" customFormat="false" ht="15" hidden="false" customHeight="false" outlineLevel="0" collapsed="false">
      <c r="A127" s="14" t="n">
        <v>97001</v>
      </c>
      <c r="B127" s="15" t="n">
        <v>97</v>
      </c>
      <c r="C127" s="15" t="s">
        <v>107</v>
      </c>
      <c r="D127" s="14" t="s">
        <v>108</v>
      </c>
      <c r="E127" s="14" t="s">
        <v>46</v>
      </c>
      <c r="F127" s="16" t="n">
        <v>32301</v>
      </c>
      <c r="G127" s="16" t="n">
        <v>44378</v>
      </c>
      <c r="H127" s="16" t="n">
        <v>23217</v>
      </c>
      <c r="I127" s="16" t="n">
        <v>21161</v>
      </c>
      <c r="J127" s="16" t="n">
        <v>7977</v>
      </c>
      <c r="K127" s="16" t="n">
        <v>4216</v>
      </c>
      <c r="L127" s="16" t="n">
        <v>3761</v>
      </c>
      <c r="M127" s="3" t="n">
        <v>0.147058823529412</v>
      </c>
      <c r="N127" s="4" t="n">
        <f aca="false">M127*100000</f>
        <v>14705.8823529412</v>
      </c>
      <c r="O127" s="2" t="n">
        <v>0</v>
      </c>
      <c r="P127" s="2" t="n">
        <v>1</v>
      </c>
      <c r="Q127" s="6" t="n">
        <v>1</v>
      </c>
      <c r="R127" s="6" t="n">
        <v>2.25</v>
      </c>
      <c r="S127" s="17" t="n">
        <v>1</v>
      </c>
      <c r="T127" s="18" t="n">
        <f aca="false">(S127/J127)*100000</f>
        <v>12.5360411182149</v>
      </c>
      <c r="U127" s="19" t="n">
        <v>5</v>
      </c>
      <c r="V127" s="19" t="n">
        <v>5</v>
      </c>
      <c r="W127" s="19" t="n">
        <v>5</v>
      </c>
      <c r="X127" s="19" t="n">
        <v>37</v>
      </c>
      <c r="Y127" s="19" t="n">
        <v>37</v>
      </c>
      <c r="Z127" s="20" t="n">
        <f aca="false">(Y127/G127)*100000</f>
        <v>83.3746450944162</v>
      </c>
      <c r="AA127" s="2" t="n">
        <v>33</v>
      </c>
      <c r="AB127" s="6" t="n">
        <v>0</v>
      </c>
      <c r="AC127" s="4" t="n">
        <f aca="false">(AB127/G127)*100000</f>
        <v>0</v>
      </c>
      <c r="AD127" s="6" t="n">
        <v>36</v>
      </c>
      <c r="AE127" s="4" t="n">
        <f aca="false">(AD127/G127)*100000</f>
        <v>81.1212763080806</v>
      </c>
      <c r="AF127" s="6" t="n">
        <v>9</v>
      </c>
      <c r="AG127" s="6" t="n">
        <v>1</v>
      </c>
      <c r="AH127" s="6" t="n">
        <v>5</v>
      </c>
      <c r="AI127" s="4" t="n">
        <f aca="false">(AH127/G127)*100000</f>
        <v>11.2668439316779</v>
      </c>
      <c r="AJ127" s="5" t="n">
        <f aca="false">Y127/J127</f>
        <v>0.0046383352137395</v>
      </c>
      <c r="AK127" s="2" t="n">
        <f aca="false">(Q127/Y127)*100000</f>
        <v>2702.7027027027</v>
      </c>
      <c r="AL127" s="2" t="n">
        <v>0</v>
      </c>
      <c r="AM127" s="4" t="n">
        <f aca="false">(AL127/G127)*100000</f>
        <v>0</v>
      </c>
      <c r="AN127" s="4" t="n">
        <f aca="false">1105.08-AM127</f>
        <v>1105.08</v>
      </c>
      <c r="AO127" s="6" t="n">
        <v>0.201</v>
      </c>
      <c r="AP127" s="6" t="n">
        <v>0.527</v>
      </c>
      <c r="AQ127" s="4" t="n">
        <f aca="false">J127/G127</f>
        <v>0.179751228085989</v>
      </c>
    </row>
    <row r="128" customFormat="false" ht="15" hidden="false" customHeight="false" outlineLevel="0" collapsed="false">
      <c r="A128" s="14" t="n">
        <v>97001</v>
      </c>
      <c r="B128" s="15" t="n">
        <v>97</v>
      </c>
      <c r="C128" s="15" t="s">
        <v>107</v>
      </c>
      <c r="D128" s="14" t="s">
        <v>108</v>
      </c>
      <c r="E128" s="14" t="s">
        <v>47</v>
      </c>
      <c r="F128" s="16" t="n">
        <v>33167</v>
      </c>
      <c r="G128" s="16" t="n">
        <v>45579</v>
      </c>
      <c r="H128" s="16" t="n">
        <v>23824</v>
      </c>
      <c r="I128" s="16" t="n">
        <v>21755</v>
      </c>
      <c r="J128" s="16" t="n">
        <v>8205</v>
      </c>
      <c r="K128" s="16" t="n">
        <v>4333</v>
      </c>
      <c r="L128" s="16" t="n">
        <v>3872</v>
      </c>
      <c r="M128" s="3" t="n">
        <v>0.138888888888889</v>
      </c>
      <c r="N128" s="4" t="n">
        <f aca="false">M128*100000</f>
        <v>13888.8888888889</v>
      </c>
      <c r="O128" s="2" t="n">
        <v>2</v>
      </c>
      <c r="P128" s="2" t="n">
        <v>0</v>
      </c>
      <c r="Q128" s="6" t="n">
        <v>2</v>
      </c>
      <c r="R128" s="6" t="n">
        <v>4.39</v>
      </c>
      <c r="S128" s="17" t="n">
        <v>2</v>
      </c>
      <c r="T128" s="18" t="n">
        <f aca="false">(S128/J128)*100000</f>
        <v>24.375380865326</v>
      </c>
      <c r="U128" s="19" t="n">
        <v>10</v>
      </c>
      <c r="V128" s="19" t="n">
        <v>6</v>
      </c>
      <c r="W128" s="19" t="n">
        <v>6</v>
      </c>
      <c r="X128" s="19" t="n">
        <v>52</v>
      </c>
      <c r="Y128" s="19" t="n">
        <v>57</v>
      </c>
      <c r="Z128" s="20" t="n">
        <f aca="false">(Y128/G128)*100000</f>
        <v>125.057592312249</v>
      </c>
      <c r="AA128" s="2" t="n">
        <v>48</v>
      </c>
      <c r="AB128" s="6" t="n">
        <v>2</v>
      </c>
      <c r="AC128" s="4" t="n">
        <f aca="false">(AB128/G128)*100000</f>
        <v>4.38798569516663</v>
      </c>
      <c r="AD128" s="6" t="n">
        <v>52</v>
      </c>
      <c r="AE128" s="4" t="n">
        <f aca="false">(AD128/G128)*100000</f>
        <v>114.087628074332</v>
      </c>
      <c r="AF128" s="6" t="n">
        <v>15</v>
      </c>
      <c r="AG128" s="6" t="n">
        <v>1</v>
      </c>
      <c r="AH128" s="6" t="n">
        <v>6</v>
      </c>
      <c r="AI128" s="4" t="n">
        <f aca="false">(AH128/G128)*100000</f>
        <v>13.1639570854999</v>
      </c>
      <c r="AJ128" s="5" t="n">
        <f aca="false">Y128/J128</f>
        <v>0.00694698354661792</v>
      </c>
      <c r="AK128" s="2" t="n">
        <f aca="false">(Q128/Y128)*100000</f>
        <v>3508.77192982456</v>
      </c>
      <c r="AL128" s="2" t="n">
        <v>20</v>
      </c>
      <c r="AM128" s="4" t="n">
        <f aca="false">(AL128/G128)*100000</f>
        <v>43.8798569516663</v>
      </c>
      <c r="AN128" s="4" t="n">
        <f aca="false">1105.08-AM128</f>
        <v>1061.20014304833</v>
      </c>
      <c r="AO128" s="6" t="n">
        <v>0.225</v>
      </c>
      <c r="AP128" s="6" t="n">
        <v>0.471</v>
      </c>
      <c r="AQ128" s="4" t="n">
        <f aca="false">J128/G128</f>
        <v>0.180017113144211</v>
      </c>
    </row>
    <row r="129" customFormat="false" ht="15" hidden="false" customHeight="false" outlineLevel="0" collapsed="false">
      <c r="A129" s="14" t="n">
        <v>97001</v>
      </c>
      <c r="B129" s="15" t="n">
        <v>97</v>
      </c>
      <c r="C129" s="15" t="s">
        <v>107</v>
      </c>
      <c r="D129" s="14" t="s">
        <v>108</v>
      </c>
      <c r="E129" s="14" t="s">
        <v>48</v>
      </c>
      <c r="F129" s="16" t="n">
        <v>34037</v>
      </c>
      <c r="G129" s="16" t="n">
        <v>46777</v>
      </c>
      <c r="H129" s="16" t="n">
        <v>24433</v>
      </c>
      <c r="I129" s="16" t="n">
        <v>22344</v>
      </c>
      <c r="J129" s="16" t="n">
        <v>8435</v>
      </c>
      <c r="K129" s="16" t="n">
        <v>4453</v>
      </c>
      <c r="L129" s="16" t="n">
        <v>3982</v>
      </c>
      <c r="M129" s="3" t="n">
        <v>0.210526315789474</v>
      </c>
      <c r="N129" s="4" t="n">
        <f aca="false">M129*100000</f>
        <v>21052.6315789474</v>
      </c>
      <c r="O129" s="2" t="n">
        <v>5</v>
      </c>
      <c r="P129" s="2" t="n">
        <v>4</v>
      </c>
      <c r="Q129" s="6" t="n">
        <v>9</v>
      </c>
      <c r="R129" s="6" t="n">
        <v>19.24</v>
      </c>
      <c r="S129" s="17" t="n">
        <v>9</v>
      </c>
      <c r="T129" s="18" t="n">
        <f aca="false">(S129/J129)*100000</f>
        <v>106.69828097214</v>
      </c>
      <c r="U129" s="19" t="n">
        <v>11</v>
      </c>
      <c r="V129" s="19" t="n">
        <v>6</v>
      </c>
      <c r="W129" s="19" t="n">
        <v>9</v>
      </c>
      <c r="X129" s="19" t="n">
        <v>45</v>
      </c>
      <c r="Y129" s="19" t="n">
        <v>46</v>
      </c>
      <c r="Z129" s="20" t="n">
        <f aca="false">(Y129/G129)*100000</f>
        <v>98.3389272505719</v>
      </c>
      <c r="AA129" s="2" t="n">
        <v>42</v>
      </c>
      <c r="AB129" s="6" t="n">
        <v>2</v>
      </c>
      <c r="AC129" s="4" t="n">
        <f aca="false">(AB129/G129)*100000</f>
        <v>4.27560553263356</v>
      </c>
      <c r="AD129" s="6" t="n">
        <v>45</v>
      </c>
      <c r="AE129" s="4" t="n">
        <f aca="false">(AD129/G129)*100000</f>
        <v>96.2011244842551</v>
      </c>
      <c r="AF129" s="6" t="n">
        <v>17</v>
      </c>
      <c r="AG129" s="6" t="n">
        <v>3</v>
      </c>
      <c r="AH129" s="6" t="n">
        <v>4</v>
      </c>
      <c r="AI129" s="4" t="n">
        <f aca="false">(AH129/G129)*100000</f>
        <v>8.55121106526712</v>
      </c>
      <c r="AJ129" s="5" t="n">
        <f aca="false">Y129/J129</f>
        <v>0.00545346769413159</v>
      </c>
      <c r="AK129" s="2" t="n">
        <f aca="false">(Q129/Y129)*100000</f>
        <v>19565.2173913043</v>
      </c>
      <c r="AL129" s="2" t="n">
        <v>35</v>
      </c>
      <c r="AM129" s="4" t="n">
        <f aca="false">(AL129/G129)*100000</f>
        <v>74.8230968210873</v>
      </c>
      <c r="AN129" s="4" t="n">
        <f aca="false">1105.08-AM129</f>
        <v>1030.25690317891</v>
      </c>
      <c r="AO129" s="6" t="n">
        <v>0.206</v>
      </c>
      <c r="AP129" s="6" t="n">
        <v>0.557</v>
      </c>
      <c r="AQ129" s="4" t="n">
        <f aca="false">J129/G129</f>
        <v>0.18032366333882</v>
      </c>
    </row>
    <row r="130" customFormat="false" ht="15" hidden="false" customHeight="false" outlineLevel="0" collapsed="false">
      <c r="A130" s="14" t="n">
        <v>99001</v>
      </c>
      <c r="B130" s="15" t="n">
        <v>99</v>
      </c>
      <c r="C130" s="15" t="s">
        <v>109</v>
      </c>
      <c r="D130" s="14" t="s">
        <v>110</v>
      </c>
      <c r="E130" s="14" t="s">
        <v>45</v>
      </c>
      <c r="F130" s="16" t="n">
        <v>21339</v>
      </c>
      <c r="G130" s="16" t="n">
        <v>115196</v>
      </c>
      <c r="H130" s="16" t="n">
        <v>60703</v>
      </c>
      <c r="I130" s="16" t="n">
        <v>54493</v>
      </c>
      <c r="J130" s="16" t="n">
        <v>25225</v>
      </c>
      <c r="K130" s="16" t="n">
        <v>13806</v>
      </c>
      <c r="L130" s="16" t="n">
        <v>11419</v>
      </c>
      <c r="M130" s="3" t="n">
        <v>0.0235294117647059</v>
      </c>
      <c r="N130" s="4" t="n">
        <f aca="false">M130*100000</f>
        <v>2352.94117647059</v>
      </c>
      <c r="O130" s="2" t="n">
        <v>7</v>
      </c>
      <c r="P130" s="2" t="n">
        <v>1</v>
      </c>
      <c r="Q130" s="6" t="n">
        <v>8</v>
      </c>
      <c r="R130" s="6" t="n">
        <v>6.94</v>
      </c>
      <c r="S130" s="17" t="n">
        <v>7</v>
      </c>
      <c r="T130" s="18" t="n">
        <f aca="false">(S130/J130)*100000</f>
        <v>27.7502477700694</v>
      </c>
      <c r="U130" s="19" t="n">
        <v>6</v>
      </c>
      <c r="V130" s="19" t="n">
        <v>0</v>
      </c>
      <c r="W130" s="19" t="n">
        <v>0</v>
      </c>
      <c r="X130" s="19" t="n">
        <v>85</v>
      </c>
      <c r="Y130" s="19" t="n">
        <v>89</v>
      </c>
      <c r="Z130" s="20" t="n">
        <f aca="false">(Y130/G130)*100000</f>
        <v>77.2596270703844</v>
      </c>
      <c r="AA130" s="2" t="n">
        <v>14</v>
      </c>
      <c r="AB130" s="6" t="n">
        <v>1</v>
      </c>
      <c r="AC130" s="4" t="n">
        <f aca="false">(AB130/G130)*100000</f>
        <v>0.868085697420049</v>
      </c>
      <c r="AD130" s="6" t="n">
        <v>83</v>
      </c>
      <c r="AE130" s="4" t="n">
        <f aca="false">(AD130/G130)*100000</f>
        <v>72.0511128858641</v>
      </c>
      <c r="AF130" s="6" t="n">
        <v>6</v>
      </c>
      <c r="AG130" s="6" t="n">
        <v>8</v>
      </c>
      <c r="AH130" s="6" t="n">
        <v>6</v>
      </c>
      <c r="AI130" s="4" t="n">
        <f aca="false">(AH130/G130)*100000</f>
        <v>5.2085141845203</v>
      </c>
      <c r="AJ130" s="5" t="n">
        <f aca="false">Y130/J130</f>
        <v>0.00352824578790882</v>
      </c>
      <c r="AK130" s="2" t="n">
        <f aca="false">(Q130/Y130)*100000</f>
        <v>8988.76404494382</v>
      </c>
      <c r="AL130" s="2" t="n">
        <v>0</v>
      </c>
      <c r="AM130" s="4" t="n">
        <f aca="false">(AL130/G130)*100000</f>
        <v>0</v>
      </c>
      <c r="AN130" s="4" t="n">
        <f aca="false">1105.08-AM130</f>
        <v>1105.08</v>
      </c>
      <c r="AO130" s="6" t="n">
        <v>0.275</v>
      </c>
      <c r="AP130" s="6" t="n">
        <v>0.756</v>
      </c>
      <c r="AQ130" s="4" t="n">
        <f aca="false">J130/G130</f>
        <v>0.218974617174207</v>
      </c>
    </row>
    <row r="131" customFormat="false" ht="15" hidden="false" customHeight="false" outlineLevel="0" collapsed="false">
      <c r="A131" s="14" t="n">
        <v>99001</v>
      </c>
      <c r="B131" s="15" t="n">
        <v>99</v>
      </c>
      <c r="C131" s="15" t="s">
        <v>109</v>
      </c>
      <c r="D131" s="14" t="s">
        <v>110</v>
      </c>
      <c r="E131" s="14" t="s">
        <v>46</v>
      </c>
      <c r="F131" s="16" t="n">
        <v>21389</v>
      </c>
      <c r="G131" s="16" t="n">
        <v>118270</v>
      </c>
      <c r="H131" s="16" t="n">
        <v>62124</v>
      </c>
      <c r="I131" s="16" t="n">
        <v>56146</v>
      </c>
      <c r="J131" s="16" t="n">
        <v>26381</v>
      </c>
      <c r="K131" s="16" t="n">
        <v>14349</v>
      </c>
      <c r="L131" s="16" t="n">
        <v>12032</v>
      </c>
      <c r="M131" s="3" t="n">
        <v>0.0344827586206897</v>
      </c>
      <c r="N131" s="4" t="n">
        <f aca="false">M131*100000</f>
        <v>3448.27586206897</v>
      </c>
      <c r="O131" s="2" t="n">
        <v>2</v>
      </c>
      <c r="P131" s="2" t="n">
        <v>5</v>
      </c>
      <c r="Q131" s="6" t="n">
        <v>7</v>
      </c>
      <c r="R131" s="6" t="n">
        <v>5.92</v>
      </c>
      <c r="S131" s="17" t="n">
        <v>7</v>
      </c>
      <c r="T131" s="18" t="n">
        <f aca="false">(S131/J131)*100000</f>
        <v>26.5342481331261</v>
      </c>
      <c r="U131" s="19" t="n">
        <v>9</v>
      </c>
      <c r="V131" s="19" t="n">
        <v>0</v>
      </c>
      <c r="W131" s="19" t="n">
        <v>0</v>
      </c>
      <c r="X131" s="19" t="n">
        <v>65</v>
      </c>
      <c r="Y131" s="19" t="n">
        <v>68</v>
      </c>
      <c r="Z131" s="20" t="n">
        <f aca="false">(Y131/G131)*100000</f>
        <v>57.4955610044813</v>
      </c>
      <c r="AA131" s="2" t="n">
        <v>18</v>
      </c>
      <c r="AB131" s="6" t="n">
        <v>0</v>
      </c>
      <c r="AC131" s="4" t="n">
        <f aca="false">(AB131/G131)*100000</f>
        <v>0</v>
      </c>
      <c r="AD131" s="6" t="n">
        <v>64</v>
      </c>
      <c r="AE131" s="4" t="n">
        <f aca="false">(AD131/G131)*100000</f>
        <v>54.1134691806883</v>
      </c>
      <c r="AF131" s="6" t="n">
        <v>9</v>
      </c>
      <c r="AG131" s="6" t="n">
        <v>6</v>
      </c>
      <c r="AH131" s="6" t="n">
        <v>5</v>
      </c>
      <c r="AI131" s="4" t="n">
        <f aca="false">(AH131/G131)*100000</f>
        <v>4.22761477974127</v>
      </c>
      <c r="AJ131" s="5" t="n">
        <f aca="false">Y131/J131</f>
        <v>0.00257761267578939</v>
      </c>
      <c r="AK131" s="2" t="n">
        <f aca="false">(Q131/Y131)*100000</f>
        <v>10294.1176470588</v>
      </c>
      <c r="AL131" s="2" t="n">
        <v>4</v>
      </c>
      <c r="AM131" s="4" t="n">
        <f aca="false">(AL131/G131)*100000</f>
        <v>3.38209182379302</v>
      </c>
      <c r="AN131" s="4" t="n">
        <f aca="false">1105.08-AM131</f>
        <v>1101.69790817621</v>
      </c>
      <c r="AO131" s="6" t="n">
        <v>0.246</v>
      </c>
      <c r="AP131" s="6" t="n">
        <v>0.648</v>
      </c>
      <c r="AQ131" s="4" t="n">
        <f aca="false">J131/G131</f>
        <v>0.223057411008709</v>
      </c>
    </row>
    <row r="132" customFormat="false" ht="15" hidden="false" customHeight="false" outlineLevel="0" collapsed="false">
      <c r="A132" s="14" t="n">
        <v>99001</v>
      </c>
      <c r="B132" s="15" t="n">
        <v>99</v>
      </c>
      <c r="C132" s="15" t="s">
        <v>109</v>
      </c>
      <c r="D132" s="14" t="s">
        <v>110</v>
      </c>
      <c r="E132" s="14" t="s">
        <v>47</v>
      </c>
      <c r="F132" s="16" t="n">
        <v>21868</v>
      </c>
      <c r="G132" s="16" t="n">
        <v>120942</v>
      </c>
      <c r="H132" s="16" t="n">
        <v>63290</v>
      </c>
      <c r="I132" s="16" t="n">
        <v>57652</v>
      </c>
      <c r="J132" s="16" t="n">
        <v>27441</v>
      </c>
      <c r="K132" s="16" t="n">
        <v>14821</v>
      </c>
      <c r="L132" s="16" t="n">
        <v>12620</v>
      </c>
      <c r="M132" s="3" t="n">
        <v>0.0112359550561798</v>
      </c>
      <c r="N132" s="4" t="n">
        <f aca="false">M132*100000</f>
        <v>1123.59550561798</v>
      </c>
      <c r="O132" s="2" t="n">
        <v>5</v>
      </c>
      <c r="P132" s="2" t="n">
        <v>4</v>
      </c>
      <c r="Q132" s="6" t="n">
        <v>9</v>
      </c>
      <c r="R132" s="6" t="n">
        <v>7.44</v>
      </c>
      <c r="S132" s="17" t="n">
        <v>6</v>
      </c>
      <c r="T132" s="18" t="n">
        <f aca="false">(S132/J132)*100000</f>
        <v>21.8650923800153</v>
      </c>
      <c r="U132" s="19" t="n">
        <v>7</v>
      </c>
      <c r="V132" s="19" t="n">
        <v>4</v>
      </c>
      <c r="W132" s="19" t="n">
        <v>2</v>
      </c>
      <c r="X132" s="19" t="n">
        <v>74</v>
      </c>
      <c r="Y132" s="19" t="n">
        <v>80</v>
      </c>
      <c r="Z132" s="20" t="n">
        <f aca="false">(Y132/G132)*100000</f>
        <v>66.1474095020754</v>
      </c>
      <c r="AA132" s="2" t="n">
        <v>20</v>
      </c>
      <c r="AB132" s="6" t="n">
        <v>1</v>
      </c>
      <c r="AC132" s="4" t="n">
        <f aca="false">(AB132/G132)*100000</f>
        <v>0.826842618775942</v>
      </c>
      <c r="AD132" s="6" t="n">
        <v>72</v>
      </c>
      <c r="AE132" s="4" t="n">
        <f aca="false">(AD132/G132)*100000</f>
        <v>59.5326685518678</v>
      </c>
      <c r="AF132" s="6" t="n">
        <v>11</v>
      </c>
      <c r="AG132" s="6" t="n">
        <v>3</v>
      </c>
      <c r="AH132" s="6" t="n">
        <v>8</v>
      </c>
      <c r="AI132" s="4" t="n">
        <f aca="false">(AH132/G132)*100000</f>
        <v>6.61474095020754</v>
      </c>
      <c r="AJ132" s="5" t="n">
        <f aca="false">Y132/J132</f>
        <v>0.00291534565066871</v>
      </c>
      <c r="AK132" s="2" t="n">
        <f aca="false">(Q132/Y132)*100000</f>
        <v>11250</v>
      </c>
      <c r="AL132" s="2" t="n">
        <v>8</v>
      </c>
      <c r="AM132" s="4" t="n">
        <f aca="false">(AL132/G132)*100000</f>
        <v>6.61474095020754</v>
      </c>
      <c r="AN132" s="4" t="n">
        <f aca="false">1105.08-AM132</f>
        <v>1098.46525904979</v>
      </c>
      <c r="AO132" s="6" t="n">
        <v>0.388</v>
      </c>
      <c r="AP132" s="6" t="n">
        <v>0.754</v>
      </c>
      <c r="AQ132" s="4" t="n">
        <f aca="false">J132/G132</f>
        <v>0.226893883018306</v>
      </c>
    </row>
    <row r="133" customFormat="false" ht="15" hidden="false" customHeight="false" outlineLevel="0" collapsed="false">
      <c r="A133" s="14" t="n">
        <v>99001</v>
      </c>
      <c r="B133" s="15" t="n">
        <v>99</v>
      </c>
      <c r="C133" s="15" t="s">
        <v>109</v>
      </c>
      <c r="D133" s="14" t="s">
        <v>110</v>
      </c>
      <c r="E133" s="14" t="s">
        <v>48</v>
      </c>
      <c r="F133" s="16" t="n">
        <v>22218</v>
      </c>
      <c r="G133" s="16" t="n">
        <v>123304</v>
      </c>
      <c r="H133" s="16" t="n">
        <v>64301</v>
      </c>
      <c r="I133" s="16" t="n">
        <v>59003</v>
      </c>
      <c r="J133" s="16" t="n">
        <v>28430</v>
      </c>
      <c r="K133" s="16" t="n">
        <v>15254</v>
      </c>
      <c r="L133" s="16" t="n">
        <v>13176</v>
      </c>
      <c r="M133" s="3" t="n">
        <v>0.0333333333333333</v>
      </c>
      <c r="N133" s="4" t="n">
        <f aca="false">M133*100000</f>
        <v>3333.33333333333</v>
      </c>
      <c r="O133" s="2" t="n">
        <v>3</v>
      </c>
      <c r="P133" s="2" t="n">
        <v>0</v>
      </c>
      <c r="Q133" s="6" t="n">
        <v>3</v>
      </c>
      <c r="R133" s="6" t="n">
        <v>2.43</v>
      </c>
      <c r="S133" s="17" t="n">
        <v>3</v>
      </c>
      <c r="T133" s="18" t="n">
        <f aca="false">(S133/J133)*100000</f>
        <v>10.5522335561027</v>
      </c>
      <c r="U133" s="19" t="n">
        <v>15</v>
      </c>
      <c r="V133" s="19" t="n">
        <v>3</v>
      </c>
      <c r="W133" s="19" t="n">
        <v>2</v>
      </c>
      <c r="X133" s="19" t="n">
        <v>52</v>
      </c>
      <c r="Y133" s="19" t="n">
        <v>61</v>
      </c>
      <c r="Z133" s="20" t="n">
        <f aca="false">(Y133/G133)*100000</f>
        <v>49.4712255887887</v>
      </c>
      <c r="AA133" s="2" t="n">
        <v>11</v>
      </c>
      <c r="AB133" s="6" t="n">
        <v>0</v>
      </c>
      <c r="AC133" s="4" t="n">
        <f aca="false">(AB133/G133)*100000</f>
        <v>0</v>
      </c>
      <c r="AD133" s="6" t="n">
        <v>50</v>
      </c>
      <c r="AE133" s="4" t="n">
        <f aca="false">(AD133/G133)*100000</f>
        <v>40.5501849088432</v>
      </c>
      <c r="AF133" s="6" t="n">
        <v>17</v>
      </c>
      <c r="AG133" s="6" t="n">
        <v>7</v>
      </c>
      <c r="AH133" s="6" t="n">
        <v>5</v>
      </c>
      <c r="AI133" s="4" t="n">
        <f aca="false">(AH133/G133)*100000</f>
        <v>4.05501849088432</v>
      </c>
      <c r="AJ133" s="5" t="n">
        <f aca="false">Y133/J133</f>
        <v>0.00214562082307422</v>
      </c>
      <c r="AK133" s="2" t="n">
        <f aca="false">(Q133/Y133)*100000</f>
        <v>4918.03278688525</v>
      </c>
      <c r="AL133" s="2" t="n">
        <v>13</v>
      </c>
      <c r="AM133" s="4" t="n">
        <f aca="false">(AL133/G133)*100000</f>
        <v>10.5430480762992</v>
      </c>
      <c r="AN133" s="4" t="n">
        <f aca="false">1105.08-AM133</f>
        <v>1094.5369519237</v>
      </c>
      <c r="AO133" s="6" t="n">
        <v>0.271</v>
      </c>
      <c r="AP133" s="6" t="n">
        <v>0.654</v>
      </c>
      <c r="AQ133" s="4" t="n">
        <f aca="false">J133/G133</f>
        <v>0.230568351391682</v>
      </c>
    </row>
    <row r="134" customFormat="false" ht="15" hidden="false" customHeight="false" outlineLevel="0" collapsed="false">
      <c r="B134" s="6"/>
      <c r="C134" s="6"/>
      <c r="E134" s="14"/>
      <c r="N134" s="4"/>
      <c r="Q134" s="2"/>
      <c r="R134" s="34"/>
      <c r="T134" s="34"/>
      <c r="AE134" s="34"/>
      <c r="AK134" s="2"/>
      <c r="AM134" s="4"/>
      <c r="AO134" s="6"/>
      <c r="AP134" s="6"/>
    </row>
    <row r="135" customFormat="false" ht="15" hidden="false" customHeight="false" outlineLevel="0" collapsed="false">
      <c r="B135" s="6"/>
      <c r="C135" s="6"/>
      <c r="E135" s="14"/>
      <c r="N135" s="4"/>
      <c r="Q135" s="2"/>
      <c r="R135" s="34"/>
      <c r="T135" s="34"/>
      <c r="AE135" s="34"/>
      <c r="AK135" s="2"/>
      <c r="AM135" s="4"/>
      <c r="AO135" s="6"/>
      <c r="AP135" s="6"/>
    </row>
    <row r="136" customFormat="false" ht="15" hidden="false" customHeight="false" outlineLevel="0" collapsed="false">
      <c r="B136" s="6"/>
      <c r="C136" s="6"/>
      <c r="E136" s="14"/>
      <c r="N136" s="4"/>
      <c r="Q136" s="2"/>
      <c r="R136" s="34"/>
      <c r="T136" s="34"/>
      <c r="AE136" s="34"/>
      <c r="AK136" s="2"/>
      <c r="AM136" s="4"/>
      <c r="AO136" s="6"/>
      <c r="AP136" s="6"/>
    </row>
    <row r="137" customFormat="false" ht="15" hidden="false" customHeight="false" outlineLevel="0" collapsed="false">
      <c r="B137" s="6"/>
      <c r="C137" s="6"/>
      <c r="E137" s="14"/>
      <c r="N137" s="4"/>
      <c r="Q137" s="2"/>
      <c r="R137" s="34"/>
      <c r="T137" s="34"/>
      <c r="AE137" s="34"/>
      <c r="AK137" s="2"/>
      <c r="AM137" s="4"/>
      <c r="AO137" s="6"/>
      <c r="AP13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2024-08-24T16:03:09Z</dcterms:created>
  <dc:creator>jeospinaa</dc:creator>
  <dc:description/>
  <dc:language>es-CO</dc:language>
  <cp:lastModifiedBy/>
  <dcterms:modified xsi:type="dcterms:W3CDTF">2025-12-14T06:05:10Z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